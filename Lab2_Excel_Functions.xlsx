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cel Functio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<sst xmlns="http://schemas.openxmlformats.org/spreadsheetml/2006/main" count="77" uniqueCount="75">
  <si>
    <t xml:space="preserve">Lab-2 : Basic Excel Functions (Theory + Formula)</t>
  </si>
  <si>
    <t xml:space="preserve">Name: Asutosh Sunil Desai</t>
  </si>
  <si>
    <t xml:space="preserve">Name</t>
  </si>
  <si>
    <t xml:space="preserve">Department</t>
  </si>
  <si>
    <t xml:space="preserve">Salary</t>
  </si>
  <si>
    <t xml:space="preserve">Marks</t>
  </si>
  <si>
    <t xml:space="preserve">Rahul</t>
  </si>
  <si>
    <t xml:space="preserve">Sales</t>
  </si>
  <si>
    <t xml:space="preserve">Priya</t>
  </si>
  <si>
    <t xml:space="preserve">HR</t>
  </si>
  <si>
    <t xml:space="preserve">Amit</t>
  </si>
  <si>
    <t xml:space="preserve">IT</t>
  </si>
  <si>
    <t xml:space="preserve">Sneha</t>
  </si>
  <si>
    <t xml:space="preserve">Rohan</t>
  </si>
  <si>
    <t xml:space="preserve">Function</t>
  </si>
  <si>
    <t xml:space="preserve">Theory</t>
  </si>
  <si>
    <t xml:space="preserve">Formula</t>
  </si>
  <si>
    <t xml:space="preserve">Result</t>
  </si>
  <si>
    <t xml:space="preserve">SUM</t>
  </si>
  <si>
    <t xml:space="preserve">Adds all numbers in a range.</t>
  </si>
  <si>
    <t xml:space="preserve">=SUM(C5:C9)</t>
  </si>
  <si>
    <t xml:space="preserve">AVERAGE</t>
  </si>
  <si>
    <t xml:space="preserve">Gives the average of numbers.</t>
  </si>
  <si>
    <t xml:space="preserve">=AVERAGE(C5:C9)</t>
  </si>
  <si>
    <t xml:space="preserve">MIN</t>
  </si>
  <si>
    <t xml:space="preserve">Gives the smallest value.</t>
  </si>
  <si>
    <t xml:space="preserve">=MIN(C5:C9)</t>
  </si>
  <si>
    <t xml:space="preserve">MAX</t>
  </si>
  <si>
    <t xml:space="preserve">Gives the largest value.</t>
  </si>
  <si>
    <t xml:space="preserve">=MAX(C5:C9)</t>
  </si>
  <si>
    <t xml:space="preserve">COUNT</t>
  </si>
  <si>
    <t xml:space="preserve">Counts cells that have numbers.</t>
  </si>
  <si>
    <t xml:space="preserve">=COUNT(C5:C9)</t>
  </si>
  <si>
    <t xml:space="preserve">COUNTA</t>
  </si>
  <si>
    <t xml:space="preserve">Counts cells that are not empty.</t>
  </si>
  <si>
    <t xml:space="preserve">=COUNTA(A5:A9)</t>
  </si>
  <si>
    <t xml:space="preserve">COUNTIF</t>
  </si>
  <si>
    <t xml:space="preserve">Counts cells that meet a condition.</t>
  </si>
  <si>
    <t xml:space="preserve">=COUNTIF(B5:B9,"Sales")</t>
  </si>
  <si>
    <t xml:space="preserve">SUMIF</t>
  </si>
  <si>
    <t xml:space="preserve">Adds cells that meet a condition.</t>
  </si>
  <si>
    <t xml:space="preserve">=SUMIF(B5:B9,"IT",C5:C9)</t>
  </si>
  <si>
    <t xml:space="preserve">IF</t>
  </si>
  <si>
    <t xml:space="preserve">Returns one value if true, another if false.</t>
  </si>
  <si>
    <t xml:space="preserve">=IF(D5&gt;=40,"Pass","Fail")</t>
  </si>
  <si>
    <t xml:space="preserve">AND</t>
  </si>
  <si>
    <t xml:space="preserve">TRUE only if all conditions are true.</t>
  </si>
  <si>
    <t xml:space="preserve">=AND(D6&gt;40,C6&gt;30000)</t>
  </si>
  <si>
    <t xml:space="preserve">OR</t>
  </si>
  <si>
    <t xml:space="preserve">TRUE if any one condition is true.</t>
  </si>
  <si>
    <t xml:space="preserve">=OR(B7="IT",B7="HR")</t>
  </si>
  <si>
    <t xml:space="preserve">ROUND</t>
  </si>
  <si>
    <t xml:space="preserve">Rounds a number to given decimal places.</t>
  </si>
  <si>
    <t xml:space="preserve">=ROUND(AVERAGE(D5:D9),1)</t>
  </si>
  <si>
    <t xml:space="preserve">UPPER</t>
  </si>
  <si>
    <t xml:space="preserve">Converts text to capital letters.</t>
  </si>
  <si>
    <t xml:space="preserve">=UPPER(A5)</t>
  </si>
  <si>
    <t xml:space="preserve">LOWER</t>
  </si>
  <si>
    <t xml:space="preserve">Converts text to small letters.</t>
  </si>
  <si>
    <t xml:space="preserve">=LOWER(A6)</t>
  </si>
  <si>
    <t xml:space="preserve">LEN</t>
  </si>
  <si>
    <t xml:space="preserve">Counts the number of characters.</t>
  </si>
  <si>
    <t xml:space="preserve">=LEN(A8)</t>
  </si>
  <si>
    <t xml:space="preserve">LEFT</t>
  </si>
  <si>
    <t xml:space="preserve">Takes characters from the left.</t>
  </si>
  <si>
    <t xml:space="preserve">=LEFT(A7,2)</t>
  </si>
  <si>
    <t xml:space="preserve">CONCATENATE</t>
  </si>
  <si>
    <t xml:space="preserve">Joins two or more texts.</t>
  </si>
  <si>
    <t xml:space="preserve">=CONCATENATE(A5," - ",B5)</t>
  </si>
  <si>
    <t xml:space="preserve">VLOOKUP</t>
  </si>
  <si>
    <t xml:space="preserve">Finds a value in a table and returns related data.</t>
  </si>
  <si>
    <t xml:space="preserve">=VLOOKUP("Amit",A5:C9,3,FALSE)</t>
  </si>
  <si>
    <t xml:space="preserve">TODAY</t>
  </si>
  <si>
    <t xml:space="preserve">Shows today's date.</t>
  </si>
  <si>
    <t xml:space="preserve">=TODAY()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</si>
</sst>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dd\-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C00000"/>
      <name val="Consolas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36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5" t="n">
        <v>45000</v>
      </c>
      <c r="D5" s="4" t="n">
        <v>78</v>
      </c>
    </row>
    <row r="6" customFormat="false" ht="15" hidden="false" customHeight="false" outlineLevel="0" collapsed="false">
      <c r="A6" s="4" t="s">
        <v>8</v>
      </c>
      <c r="B6" s="4" t="s">
        <v>9</v>
      </c>
      <c r="C6" s="5" t="n">
        <v>38000</v>
      </c>
      <c r="D6" s="4" t="n">
        <v>92</v>
      </c>
    </row>
    <row r="7" customFormat="false" ht="15" hidden="false" customHeight="false" outlineLevel="0" collapsed="false">
      <c r="A7" s="4" t="s">
        <v>10</v>
      </c>
      <c r="B7" s="4" t="s">
        <v>11</v>
      </c>
      <c r="C7" s="5" t="n">
        <v>62000</v>
      </c>
      <c r="D7" s="4" t="n">
        <v>65</v>
      </c>
    </row>
    <row r="8" customFormat="false" ht="15" hidden="false" customHeight="false" outlineLevel="0" collapsed="false">
      <c r="A8" s="4" t="s">
        <v>12</v>
      </c>
      <c r="B8" s="4" t="s">
        <v>7</v>
      </c>
      <c r="C8" s="5" t="n">
        <v>41000</v>
      </c>
      <c r="D8" s="4" t="n">
        <v>34</v>
      </c>
    </row>
    <row r="9" customFormat="false" ht="15" hidden="false" customHeight="false" outlineLevel="0" collapsed="false">
      <c r="A9" s="4" t="s">
        <v>13</v>
      </c>
      <c r="B9" s="4" t="s">
        <v>11</v>
      </c>
      <c r="C9" s="5" t="n">
        <v>58000</v>
      </c>
      <c r="D9" s="4" t="n">
        <v>88</v>
      </c>
    </row>
    <row r="11" customFormat="false" ht="15" hidden="false" customHeight="false" outlineLevel="0" collapsed="false">
      <c r="A11" s="3" t="s">
        <v>14</v>
      </c>
      <c r="B11" s="3" t="s">
        <v>15</v>
      </c>
      <c r="C11" s="3" t="s">
        <v>16</v>
      </c>
      <c r="D11" s="3" t="s">
        <v>17</v>
      </c>
    </row>
    <row r="12" customFormat="false" ht="15" hidden="false" customHeight="false" outlineLevel="0" collapsed="false">
      <c r="A12" s="6" t="s">
        <v>18</v>
      </c>
      <c r="B12" s="4" t="s">
        <v>19</v>
      </c>
      <c r="C12" s="7" t="s">
        <v>20</v>
      </c>
      <c r="D12" s="8" t="n">
        <f aca="false">SUM(C5:C9)</f>
        <v>244000</v>
      </c>
    </row>
    <row r="13" customFormat="false" ht="15" hidden="false" customHeight="false" outlineLevel="0" collapsed="false">
      <c r="A13" s="6" t="s">
        <v>21</v>
      </c>
      <c r="B13" s="4" t="s">
        <v>22</v>
      </c>
      <c r="C13" s="7" t="s">
        <v>23</v>
      </c>
      <c r="D13" s="8" t="n">
        <f aca="false">AVERAGE(C5:C9)</f>
        <v>48800</v>
      </c>
    </row>
    <row r="14" customFormat="false" ht="15" hidden="false" customHeight="false" outlineLevel="0" collapsed="false">
      <c r="A14" s="6" t="s">
        <v>24</v>
      </c>
      <c r="B14" s="4" t="s">
        <v>25</v>
      </c>
      <c r="C14" s="7" t="s">
        <v>26</v>
      </c>
      <c r="D14" s="8" t="n">
        <f aca="false">MIN(C5:C9)</f>
        <v>38000</v>
      </c>
    </row>
    <row r="15" customFormat="false" ht="15" hidden="false" customHeight="false" outlineLevel="0" collapsed="false">
      <c r="A15" s="6" t="s">
        <v>27</v>
      </c>
      <c r="B15" s="4" t="s">
        <v>28</v>
      </c>
      <c r="C15" s="7" t="s">
        <v>29</v>
      </c>
      <c r="D15" s="8" t="n">
        <f aca="false">MAX(C5:C9)</f>
        <v>62000</v>
      </c>
    </row>
    <row r="16" customFormat="false" ht="15" hidden="false" customHeight="false" outlineLevel="0" collapsed="false">
      <c r="A16" s="6" t="s">
        <v>30</v>
      </c>
      <c r="B16" s="4" t="s">
        <v>31</v>
      </c>
      <c r="C16" s="7" t="s">
        <v>32</v>
      </c>
      <c r="D16" s="9" t="n">
        <f aca="false">COUNT(C5:C9)</f>
        <v>5</v>
      </c>
    </row>
    <row r="17" customFormat="false" ht="15" hidden="false" customHeight="false" outlineLevel="0" collapsed="false">
      <c r="A17" s="6" t="s">
        <v>33</v>
      </c>
      <c r="B17" s="4" t="s">
        <v>34</v>
      </c>
      <c r="C17" s="7" t="s">
        <v>35</v>
      </c>
      <c r="D17" s="9" t="n">
        <f aca="false">COUNTA(A5:A9)</f>
        <v>5</v>
      </c>
    </row>
    <row r="18" customFormat="false" ht="15" hidden="false" customHeight="false" outlineLevel="0" collapsed="false">
      <c r="A18" s="6" t="s">
        <v>36</v>
      </c>
      <c r="B18" s="4" t="s">
        <v>37</v>
      </c>
      <c r="C18" s="7" t="s">
        <v>38</v>
      </c>
      <c r="D18" s="9" t="n">
        <f aca="false">COUNTIF(B5:B9,"Sales")</f>
        <v>2</v>
      </c>
    </row>
    <row r="19" customFormat="false" ht="15" hidden="false" customHeight="false" outlineLevel="0" collapsed="false">
      <c r="A19" s="6" t="s">
        <v>39</v>
      </c>
      <c r="B19" s="4" t="s">
        <v>40</v>
      </c>
      <c r="C19" s="7" t="s">
        <v>41</v>
      </c>
      <c r="D19" s="8" t="n">
        <f aca="false">SUMIF(B5:B9,"IT",C5:C9)</f>
        <v>120000</v>
      </c>
    </row>
    <row r="20" customFormat="false" ht="15" hidden="false" customHeight="false" outlineLevel="0" collapsed="false">
      <c r="A20" s="6" t="s">
        <v>42</v>
      </c>
      <c r="B20" s="4" t="s">
        <v>43</v>
      </c>
      <c r="C20" s="7" t="s">
        <v>44</v>
      </c>
      <c r="D20" s="9" t="str">
        <f aca="false">IF(D5&gt;=40,"Pass","Fail")</f>
        <v>Pass</v>
      </c>
    </row>
    <row r="21" customFormat="false" ht="15" hidden="false" customHeight="false" outlineLevel="0" collapsed="false">
      <c r="A21" s="6" t="s">
        <v>45</v>
      </c>
      <c r="B21" s="4" t="s">
        <v>46</v>
      </c>
      <c r="C21" s="7" t="s">
        <v>47</v>
      </c>
      <c r="D21" s="10" t="b">
        <f aca="false">AND(D6&gt;40,C6&gt;30000)</f>
        <v>1</v>
      </c>
    </row>
    <row r="22" customFormat="false" ht="15" hidden="false" customHeight="false" outlineLevel="0" collapsed="false">
      <c r="A22" s="6" t="s">
        <v>48</v>
      </c>
      <c r="B22" s="4" t="s">
        <v>49</v>
      </c>
      <c r="C22" s="7" t="s">
        <v>50</v>
      </c>
      <c r="D22" s="10" t="b">
        <f aca="false">OR(B7="IT",B7="HR")</f>
        <v>1</v>
      </c>
    </row>
    <row r="23" customFormat="false" ht="15" hidden="false" customHeight="false" outlineLevel="0" collapsed="false">
      <c r="A23" s="6" t="s">
        <v>51</v>
      </c>
      <c r="B23" s="4" t="s">
        <v>52</v>
      </c>
      <c r="C23" s="7" t="s">
        <v>53</v>
      </c>
      <c r="D23" s="9" t="n">
        <f aca="false">ROUND(AVERAGE(D5:D9),1)</f>
        <v>71.4</v>
      </c>
    </row>
    <row r="24" customFormat="false" ht="15" hidden="false" customHeight="false" outlineLevel="0" collapsed="false">
      <c r="A24" s="6" t="s">
        <v>54</v>
      </c>
      <c r="B24" s="4" t="s">
        <v>55</v>
      </c>
      <c r="C24" s="7" t="s">
        <v>56</v>
      </c>
      <c r="D24" s="9" t="str">
        <f aca="false">UPPER(A5)</f>
        <v>RAHUL</v>
      </c>
    </row>
    <row r="25" customFormat="false" ht="15" hidden="false" customHeight="false" outlineLevel="0" collapsed="false">
      <c r="A25" s="6" t="s">
        <v>57</v>
      </c>
      <c r="B25" s="4" t="s">
        <v>58</v>
      </c>
      <c r="C25" s="7" t="s">
        <v>59</v>
      </c>
      <c r="D25" s="9" t="str">
        <f aca="false">LOWER(A6)</f>
        <v>priya</v>
      </c>
    </row>
    <row r="26" customFormat="false" ht="15" hidden="false" customHeight="false" outlineLevel="0" collapsed="false">
      <c r="A26" s="6" t="s">
        <v>60</v>
      </c>
      <c r="B26" s="4" t="s">
        <v>61</v>
      </c>
      <c r="C26" s="7" t="s">
        <v>62</v>
      </c>
      <c r="D26" s="9" t="n">
        <f aca="false">LEN(A8)</f>
        <v>5</v>
      </c>
    </row>
    <row r="27" customFormat="false" ht="15" hidden="false" customHeight="false" outlineLevel="0" collapsed="false">
      <c r="A27" s="6" t="s">
        <v>63</v>
      </c>
      <c r="B27" s="4" t="s">
        <v>64</v>
      </c>
      <c r="C27" s="7" t="s">
        <v>65</v>
      </c>
      <c r="D27" s="9" t="str">
        <f aca="false">LEFT(A7,2)</f>
        <v>Am</v>
      </c>
    </row>
    <row r="28" customFormat="false" ht="15" hidden="false" customHeight="false" outlineLevel="0" collapsed="false">
      <c r="A28" s="6" t="s">
        <v>66</v>
      </c>
      <c r="B28" s="4" t="s">
        <v>67</v>
      </c>
      <c r="C28" s="7" t="s">
        <v>68</v>
      </c>
      <c r="D28" s="9" t="str">
        <f aca="false">CONCATENATE(A5," - ",B5)</f>
        <v>Rahul - Sales</v>
      </c>
    </row>
    <row r="29" customFormat="false" ht="15" hidden="false" customHeight="false" outlineLevel="0" collapsed="false">
      <c r="A29" s="6" t="s">
        <v>69</v>
      </c>
      <c r="B29" s="4" t="s">
        <v>70</v>
      </c>
      <c r="C29" s="7" t="s">
        <v>71</v>
      </c>
      <c r="D29" s="8" t="n">
        <f aca="false">VLOOKUP("Amit",A5:C9,3,FALSE())</f>
        <v>62000</v>
      </c>
    </row>
    <row r="30" customFormat="false" ht="15" hidden="false" customHeight="false" outlineLevel="0" collapsed="false">
      <c r="A30" s="6" t="s">
        <v>72</v>
      </c>
      <c r="B30" s="4" t="s">
        <v>73</v>
      </c>
      <c r="C30" s="7" t="s">
        <v>74</v>
      </c>
      <c r="D30" s="11" t="n">
        <f aca="true">TODAY()</f>
        <v>46323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2026-10-28T09:11:21Z</dcterms:created>
  <dc:creator>openpyxl</dc:creator>
  <dc:description/>
  <dc:language>en-US</dc:language>
  <cp:lastModifiedBy/>
  <dcterms:modified xsi:type="dcterms:W3CDTF">2026-10-28T09:11:21Z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