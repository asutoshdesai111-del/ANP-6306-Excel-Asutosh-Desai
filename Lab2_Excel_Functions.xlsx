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roduction" sheetId="1" state="visible" r:id="rId3"/>
    <sheet name="Data" sheetId="2" state="visible" r:id="rId4"/>
    <sheet name="Fun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<sst xmlns="http://schemas.openxmlformats.org/spreadsheetml/2006/main" count="480" uniqueCount="397">
  <si>
    <t xml:space="preserve">Lab-2 : ANP-D6305  -&gt;  Explain all the functions in Excel (Theory + Formula)</t>
  </si>
  <si>
    <t xml:space="preserve">Name: Asutosh Sunil Desai</t>
  </si>
  <si>
    <t xml:space="preserve">What is MS Excel?</t>
  </si>
  <si>
    <t xml:space="preserve">Microsoft Excel is a spreadsheet application used to store, organise, calculate and analyse data in rows and columns.</t>
  </si>
  <si>
    <t xml:space="preserve">A workbook contains sheets; a sheet is a grid of cells. Each cell has an address such as A1 (column A, row 1).</t>
  </si>
  <si>
    <t xml:space="preserve">Formula vs Function</t>
  </si>
  <si>
    <t xml:space="preserve">Formula: an expression written by the user that starts with '=' , e.g. =A1+B1*2</t>
  </si>
  <si>
    <t xml:space="preserve">Function: a built-in, predefined formula with a name and arguments, e.g. =SUM(A1:A10)</t>
  </si>
  <si>
    <t xml:space="preserve">Syntax of a function:  =FUNCTION_NAME(argument1, argument2, ...)</t>
  </si>
  <si>
    <t xml:space="preserve">Types of Cell References</t>
  </si>
  <si>
    <t xml:space="preserve">Relative (A1)  : changes when the formula is copied to another cell.</t>
  </si>
  <si>
    <t xml:space="preserve">Absolute ($A$1): stays fixed when copied (press F4 to add $).</t>
  </si>
  <si>
    <t xml:space="preserve">Mixed ($A1 or A$1): either the column or the row is fixed.</t>
  </si>
  <si>
    <t xml:space="preserve">Operators</t>
  </si>
  <si>
    <t xml:space="preserve">Arithmetic: +  -  *  /  ^  %      Comparison: =  &gt;  &lt;  &gt;=  &lt;=  &lt;&gt;      Text join: &amp;</t>
  </si>
  <si>
    <t xml:space="preserve">Order of operations (BODMAS): ( )  -&gt;  ^  -&gt;  * /  -&gt;  + -</t>
  </si>
  <si>
    <t xml:space="preserve">Categories of Excel Functions covered in this file</t>
  </si>
  <si>
    <t xml:space="preserve">1. Math &amp; Trig   2. Statistical   3. Logical   4. Text   5. Lookup &amp; Reference   6. Date &amp; Time   7. Financial   8. Information</t>
  </si>
  <si>
    <t xml:space="preserve">How to use this workbook</t>
  </si>
  <si>
    <t xml:space="preserve">Sheet 'Data'      : sample employee data used by all examples.</t>
  </si>
  <si>
    <t xml:space="preserve">Sheet 'Functions' : every function with its theory, syntax, the exact formula used and the LIVE result.</t>
  </si>
  <si>
    <t xml:space="preserve">Change any value in the 'Data' sheet and the results in the 'Functions' sheet update automatically.</t>
  </si>
  <si>
    <t xml:space="preserve">Emp ID</t>
  </si>
  <si>
    <t xml:space="preserve">Name</t>
  </si>
  <si>
    <t xml:space="preserve">Department</t>
  </si>
  <si>
    <t xml:space="preserve">City</t>
  </si>
  <si>
    <t xml:space="preserve">Salary (Rs)</t>
  </si>
  <si>
    <t xml:space="preserve">Join Date</t>
  </si>
  <si>
    <t xml:space="preserve">Sales Q1 (Rs)</t>
  </si>
  <si>
    <t xml:space="preserve">Rating</t>
  </si>
  <si>
    <t xml:space="preserve">rahul sharma</t>
  </si>
  <si>
    <t xml:space="preserve">Sales</t>
  </si>
  <si>
    <t xml:space="preserve">Mumbai</t>
  </si>
  <si>
    <t xml:space="preserve">Priya Patil</t>
  </si>
  <si>
    <t xml:space="preserve">HR</t>
  </si>
  <si>
    <t xml:space="preserve">Pune</t>
  </si>
  <si>
    <t xml:space="preserve">Amit Joshi</t>
  </si>
  <si>
    <t xml:space="preserve">IT</t>
  </si>
  <si>
    <t xml:space="preserve">Sneha Kulkarni</t>
  </si>
  <si>
    <t xml:space="preserve">Thane</t>
  </si>
  <si>
    <t xml:space="preserve">Rohan Mehta</t>
  </si>
  <si>
    <t xml:space="preserve">Neha Desai</t>
  </si>
  <si>
    <t xml:space="preserve">Finance</t>
  </si>
  <si>
    <t xml:space="preserve">Karan Shah</t>
  </si>
  <si>
    <t xml:space="preserve">Virar</t>
  </si>
  <si>
    <t xml:space="preserve">Pooja Naik</t>
  </si>
  <si>
    <t xml:space="preserve">Vikas More</t>
  </si>
  <si>
    <t xml:space="preserve">Anjali Rao</t>
  </si>
  <si>
    <t xml:space="preserve">Horizontal table (used by HLOOKUP)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</si>
  <si>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</si>
  <si>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</si>
  <si>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</si>
  <si>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</si>
  <si>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</si>
  <si>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</si>
  <si>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</si>
  <si>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Target (Rs)</t>
  </si>
  <si>
    <t xml:space="preserve">Sample text (used by TRIM)</t>
  </si>
  <si>
    <t xml:space="preserve">   Excel    is   powerful   </t>
  </si>
  <si>
    <t xml:space="preserve">Loan inputs (used by PMT / FV / PV)</t>
  </si>
  <si>
    <t xml:space="preserve">Loan amount (Rs)</t>
  </si>
  <si>
    <t xml:space="preserve">Annual interest rate</t>
  </si>
  <si>
    <t xml:space="preserve">Tenure (years)</t>
  </si>
  <si>
    <t xml:space="preserve">Blue text = sample input values (edit them to see the Functions sheet update).</t>
  </si>
  <si>
    <t xml:space="preserve">Lab-2 : Excel Functions - Theory + Formula (live examples use the 'Data' sheet)</t>
  </si>
  <si>
    <t xml:space="preserve">Sr No</t>
  </si>
  <si>
    <t xml:space="preserve">Category</t>
  </si>
  <si>
    <t xml:space="preserve">Function</t>
  </si>
  <si>
    <t xml:space="preserve">Theory (What it does)</t>
  </si>
  <si>
    <t xml:space="preserve">Syntax</t>
  </si>
  <si>
    <t xml:space="preserve">Formula Used</t>
  </si>
  <si>
    <t xml:space="preserve">Result</t>
  </si>
  <si>
    <t xml:space="preserve">Math &amp; Trig</t>
  </si>
  <si>
    <t xml:space="preserve">SUM</t>
  </si>
  <si>
    <t xml:space="preserve">Adds all the numbers in a range of cells.</t>
  </si>
  <si>
    <t xml:space="preserve">SUM(number1, [number2], ...)</t>
  </si>
  <si>
    <t xml:space="preserve">=SUM(Data!E2:E11)</t>
  </si>
  <si>
    <t xml:space="preserve">PRODUCT</t>
  </si>
  <si>
    <t xml:space="preserve">Multiplies all the numbers given as arguments.</t>
  </si>
  <si>
    <t xml:space="preserve">PRODUCT(number1, [number2], ...)</t>
  </si>
  <si>
    <t xml:space="preserve">=PRODUCT(5,4,2)</t>
  </si>
  <si>
    <t xml:space="preserve">SUMIF</t>
  </si>
  <si>
    <t xml:space="preserve">Adds the cells that meet ONE condition.</t>
  </si>
  <si>
    <t xml:space="preserve">SUMIF(range, criteria, [sum_range])</t>
  </si>
  <si>
    <t xml:space="preserve">=SUMIF(Data!C2:C11,"Sales",Data!E2:E11)</t>
  </si>
  <si>
    <t xml:space="preserve">SUMIFS</t>
  </si>
  <si>
    <t xml:space="preserve">Adds the cells that meet MULTIPLE conditions.</t>
  </si>
  <si>
    <t xml:space="preserve">SUMIFS(sum_range, criteria_range1, criteria1, ...)</t>
  </si>
  <si>
    <t xml:space="preserve">=SUMIFS(Data!E2:E11,Data!C2:C11,"IT",Data!D2:D11,"Pune")</t>
  </si>
  <si>
    <t xml:space="preserve">SUMPRODUCT</t>
  </si>
  <si>
    <t xml:space="preserve">Multiplies corresponding values of arrays and returns the sum of those products.</t>
  </si>
  <si>
    <t xml:space="preserve">SUMPRODUCT(array1, [array2], ...)</t>
  </si>
  <si>
    <t xml:space="preserve">=SUMPRODUCT(Data!E2:E11,Data!H2:H11)</t>
  </si>
  <si>
    <t xml:space="preserve">ROUND</t>
  </si>
  <si>
    <t xml:space="preserve">Rounds a number to a given number of digits.</t>
  </si>
  <si>
    <t xml:space="preserve">ROUND(number, num_digits)</t>
  </si>
  <si>
    <t xml:space="preserve">=ROUND(3.14159,2)</t>
  </si>
  <si>
    <t xml:space="preserve">ROUNDUP</t>
  </si>
  <si>
    <t xml:space="preserve">Always rounds a number UP (away from zero).</t>
  </si>
  <si>
    <t xml:space="preserve">ROUNDUP(number, num_digits)</t>
  </si>
  <si>
    <t xml:space="preserve">=ROUNDUP(3.141,1)</t>
  </si>
  <si>
    <t xml:space="preserve">ROUNDDOWN</t>
  </si>
  <si>
    <t xml:space="preserve">Always rounds a number DOWN (towards zero).</t>
  </si>
  <si>
    <t xml:space="preserve">ROUNDDOWN(number, num_digits)</t>
  </si>
  <si>
    <t xml:space="preserve">=ROUNDDOWN(3.189,1)</t>
  </si>
  <si>
    <t xml:space="preserve">INT</t>
  </si>
  <si>
    <t xml:space="preserve">Rounds a number down to the nearest integer.</t>
  </si>
  <si>
    <t xml:space="preserve">INT(number)</t>
  </si>
  <si>
    <t xml:space="preserve">=INT(8.9)</t>
  </si>
  <si>
    <t xml:space="preserve">ABS</t>
  </si>
  <si>
    <t xml:space="preserve">Returns the absolute (positive) value of a number.</t>
  </si>
  <si>
    <t xml:space="preserve">ABS(number)</t>
  </si>
  <si>
    <t xml:space="preserve">=ABS(-250)</t>
  </si>
  <si>
    <t xml:space="preserve">POWER</t>
  </si>
  <si>
    <t xml:space="preserve">Returns a number raised to a power.</t>
  </si>
  <si>
    <t xml:space="preserve">POWER(number, power)</t>
  </si>
  <si>
    <t xml:space="preserve">=POWER(2,5)</t>
  </si>
  <si>
    <t xml:space="preserve">SQRT</t>
  </si>
  <si>
    <t xml:space="preserve">Returns the square root of a number.</t>
  </si>
  <si>
    <t xml:space="preserve">SQRT(number)</t>
  </si>
  <si>
    <t xml:space="preserve">=SQRT(144)</t>
  </si>
  <si>
    <t xml:space="preserve">MOD</t>
  </si>
  <si>
    <t xml:space="preserve">Returns the remainder after division.</t>
  </si>
  <si>
    <t xml:space="preserve">MOD(number, divisor)</t>
  </si>
  <si>
    <t xml:space="preserve">=MOD(17,5)</t>
  </si>
  <si>
    <t xml:space="preserve">Statistical</t>
  </si>
  <si>
    <t xml:space="preserve">AVERAGE</t>
  </si>
  <si>
    <t xml:space="preserve">Returns the arithmetic mean of numbers.</t>
  </si>
  <si>
    <t xml:space="preserve">AVERAGE(number1, [number2], ...)</t>
  </si>
  <si>
    <t xml:space="preserve">=AVERAGE(Data!E2:E11)</t>
  </si>
  <si>
    <t xml:space="preserve">AVERAGEIF</t>
  </si>
  <si>
    <t xml:space="preserve">Average of cells that meet a condition.</t>
  </si>
  <si>
    <t xml:space="preserve">AVERAGEIF(range, criteria, [average_range])</t>
  </si>
  <si>
    <t xml:space="preserve">=AVERAGEIF(Data!C2:C11,"IT",Data!E2:E11)</t>
  </si>
  <si>
    <t xml:space="preserve">MIN</t>
  </si>
  <si>
    <t xml:space="preserve">Returns the smallest number in a range.</t>
  </si>
  <si>
    <t xml:space="preserve">MIN(number1, [number2], ...)</t>
  </si>
  <si>
    <t xml:space="preserve">=MIN(Data!E2:E11)</t>
  </si>
  <si>
    <t xml:space="preserve">MAX</t>
  </si>
  <si>
    <t xml:space="preserve">Returns the largest number in a range.</t>
  </si>
  <si>
    <t xml:space="preserve">MAX(number1, [number2], ...)</t>
  </si>
  <si>
    <t xml:space="preserve">=MAX(Data!E2:E11)</t>
  </si>
  <si>
    <t xml:space="preserve">COUNT</t>
  </si>
  <si>
    <t xml:space="preserve">Counts cells that contain NUMBERS.</t>
  </si>
  <si>
    <t xml:space="preserve">COUNT(value1, [value2], ...)</t>
  </si>
  <si>
    <t xml:space="preserve">=COUNT(Data!E2:E11)</t>
  </si>
  <si>
    <t xml:space="preserve">COUNTA</t>
  </si>
  <si>
    <t xml:space="preserve">Counts cells that are NOT EMPTY (numbers + text).</t>
  </si>
  <si>
    <t xml:space="preserve">COUNTA(value1, [value2], ...)</t>
  </si>
  <si>
    <t xml:space="preserve">=COUNTA(Data!B2:B11)</t>
  </si>
  <si>
    <t xml:space="preserve">COUNTBLANK</t>
  </si>
  <si>
    <t xml:space="preserve">Counts EMPTY cells in a range.</t>
  </si>
  <si>
    <t xml:space="preserve">COUNTBLANK(range)</t>
  </si>
  <si>
    <t xml:space="preserve">=COUNTBLANK(Data!A2:H12)</t>
  </si>
  <si>
    <t xml:space="preserve">COUNTIF</t>
  </si>
  <si>
    <t xml:space="preserve">Counts cells that meet ONE condition.</t>
  </si>
  <si>
    <t xml:space="preserve">COUNTIF(range, criteria)</t>
  </si>
  <si>
    <t xml:space="preserve">=COUNTIF(Data!D2:D11,"Mumbai")</t>
  </si>
  <si>
    <t xml:space="preserve">COUNTIFS</t>
  </si>
  <si>
    <t xml:space="preserve">Counts cells that meet MULTIPLE conditions.</t>
  </si>
  <si>
    <t xml:space="preserve">COUNTIFS(range1, criteria1, range2, criteria2, ...)</t>
  </si>
  <si>
    <t xml:space="preserve">=COUNTIFS(Data!C2:C11,"Sales",Data!E2:E11,"&gt;40000")</t>
  </si>
  <si>
    <t xml:space="preserve">MEDIAN</t>
  </si>
  <si>
    <t xml:space="preserve">Returns the middle value of a set of numbers.</t>
  </si>
  <si>
    <t xml:space="preserve">MEDIAN(number1, [number2], ...)</t>
  </si>
  <si>
    <t xml:space="preserve">=MEDIAN(Data!E2:E11)</t>
  </si>
  <si>
    <t xml:space="preserve">MODE</t>
  </si>
  <si>
    <t xml:space="preserve">Returns the most frequently occurring value.</t>
  </si>
  <si>
    <t xml:space="preserve">MODE(number1, [number2], ...)</t>
  </si>
  <si>
    <t xml:space="preserve">=MODE(Data!H2:H11)</t>
  </si>
  <si>
    <t xml:space="preserve">LARGE</t>
  </si>
  <si>
    <t xml:space="preserve">Returns the k-th largest value (e.g. 2nd highest).</t>
  </si>
  <si>
    <t xml:space="preserve">LARGE(array, k)</t>
  </si>
  <si>
    <t xml:space="preserve">=LARGE(Data!E2:E11,2)</t>
  </si>
  <si>
    <t xml:space="preserve">SMALL</t>
  </si>
  <si>
    <t xml:space="preserve">Returns the k-th smallest value.</t>
  </si>
  <si>
    <t xml:space="preserve">SMALL(array, k)</t>
  </si>
  <si>
    <t xml:space="preserve">=SMALL(Data!E2:E11,2)</t>
  </si>
  <si>
    <t xml:space="preserve">RANK</t>
  </si>
  <si>
    <t xml:space="preserve">Returns the rank of a number within a list.</t>
  </si>
  <si>
    <t xml:space="preserve">RANK(number, ref, [order])</t>
  </si>
  <si>
    <t xml:space="preserve">=RANK(Data!E4,Data!E2:E11,0)</t>
  </si>
  <si>
    <t xml:space="preserve">Logical</t>
  </si>
  <si>
    <t xml:space="preserve">IF</t>
  </si>
  <si>
    <t xml:space="preserve">Checks a condition and returns one value if TRUE and another if FALSE.</t>
  </si>
  <si>
    <t xml:space="preserve">IF(logical_test, value_if_true, value_if_false)</t>
  </si>
  <si>
    <t xml:space="preserve">=IF(Data!E2&gt;40000,"High Salary","Low Salary")</t>
  </si>
  <si>
    <t xml:space="preserve">Nested IF</t>
  </si>
  <si>
    <t xml:space="preserve">An IF inside another IF to test more than two outcomes.</t>
  </si>
  <si>
    <t xml:space="preserve">IF(test1, val1, IF(test2, val2, val3))</t>
  </si>
  <si>
    <t xml:space="preserve">=IF(Data!H2&gt;=5,"Excellent",IF(Data!H2&gt;=3,"Good","Poor"))</t>
  </si>
  <si>
    <t xml:space="preserve">IFS</t>
  </si>
  <si>
    <t xml:space="preserve">Tests multiple conditions without nesting (Excel 2019+).</t>
  </si>
  <si>
    <t xml:space="preserve">IFS(test1, value1, test2, value2, ...)</t>
  </si>
  <si>
    <t xml:space="preserve">=_xlfn.IFS(Data!H3&gt;=5,"Excellent",Data!H3&gt;=3,"Good",TRUE,"Poor")</t>
  </si>
  <si>
    <t xml:space="preserve">AND</t>
  </si>
  <si>
    <t xml:space="preserve">Returns TRUE only if ALL conditions are TRUE.</t>
  </si>
  <si>
    <t xml:space="preserve">AND(logical1, [logical2], ...)</t>
  </si>
  <si>
    <t xml:space="preserve">=AND(Data!C2="Sales",Data!E2&gt;40000)</t>
  </si>
  <si>
    <t xml:space="preserve">OR</t>
  </si>
  <si>
    <t xml:space="preserve">Returns TRUE if ANY one condition is TRUE.</t>
  </si>
  <si>
    <t xml:space="preserve">OR(logical1, [logical2], ...)</t>
  </si>
  <si>
    <t xml:space="preserve">=OR(Data!D3="Mumbai",Data!D3="Pune")</t>
  </si>
  <si>
    <t xml:space="preserve">NOT</t>
  </si>
  <si>
    <t xml:space="preserve">Reverses a logical value (TRUE becomes FALSE).</t>
  </si>
  <si>
    <t xml:space="preserve">NOT(logical)</t>
  </si>
  <si>
    <t xml:space="preserve">=NOT(Data!C2="HR")</t>
  </si>
  <si>
    <t xml:space="preserve">IFERROR</t>
  </si>
  <si>
    <t xml:space="preserve">Returns a custom value if a formula gives an error.</t>
  </si>
  <si>
    <t xml:space="preserve">IFERROR(value, value_if_error)</t>
  </si>
  <si>
    <t xml:space="preserve">=IFERROR(Data!E2/Data!G3,"Cannot divide by 0")</t>
  </si>
  <si>
    <t xml:space="preserve">Text</t>
  </si>
  <si>
    <t xml:space="preserve">CONCATENATE</t>
  </si>
  <si>
    <t xml:space="preserve">Joins two or more text strings into one.</t>
  </si>
  <si>
    <t xml:space="preserve">CONCATENATE(text1, [text2], ...)</t>
  </si>
  <si>
    <t xml:space="preserve">=CONCATENATE(Data!B3," - ",Data!C3)</t>
  </si>
  <si>
    <t xml:space="preserve">CONCAT</t>
  </si>
  <si>
    <t xml:space="preserve">Newer version of CONCATENATE; also accepts ranges.</t>
  </si>
  <si>
    <t xml:space="preserve">CONCAT(text1, [text2], ...)</t>
  </si>
  <si>
    <t xml:space="preserve">=_xlfn.CONCAT(Data!B4," (",Data!D4,")")</t>
  </si>
  <si>
    <t xml:space="preserve">TEXTJOIN</t>
  </si>
  <si>
    <t xml:space="preserve">Joins text with a delimiter and can ignore blanks.</t>
  </si>
  <si>
    <t xml:space="preserve">TEXTJOIN(delimiter, ignore_empty, text1, ...)</t>
  </si>
  <si>
    <t xml:space="preserve">=_xlfn.TEXTJOIN(", ",TRUE,Data!D2:D5)</t>
  </si>
  <si>
    <t xml:space="preserve">&amp; operator</t>
  </si>
  <si>
    <t xml:space="preserve">Ampersand joins text just like CONCATENATE.</t>
  </si>
  <si>
    <t xml:space="preserve">text1 &amp; text2</t>
  </si>
  <si>
    <t xml:space="preserve">=Data!B5&amp;" works in "&amp;Data!C5</t>
  </si>
  <si>
    <t xml:space="preserve">LEFT</t>
  </si>
  <si>
    <t xml:space="preserve">Extracts characters from the LEFT side of text.</t>
  </si>
  <si>
    <t xml:space="preserve">LEFT(text, [num_chars])</t>
  </si>
  <si>
    <t xml:space="preserve">=LEFT(Data!B3,5)</t>
  </si>
  <si>
    <t xml:space="preserve">RIGHT</t>
  </si>
  <si>
    <t xml:space="preserve">Extracts characters from the RIGHT side of text.</t>
  </si>
  <si>
    <t xml:space="preserve">RIGHT(text, [num_chars])</t>
  </si>
  <si>
    <t xml:space="preserve">=RIGHT(Data!B3,5)</t>
  </si>
  <si>
    <t xml:space="preserve">MID</t>
  </si>
  <si>
    <t xml:space="preserve">Extracts characters from the MIDDLE of text.</t>
  </si>
  <si>
    <t xml:space="preserve">MID(text, start_num, num_chars)</t>
  </si>
  <si>
    <t xml:space="preserve">=MID(Data!B4,6,5)</t>
  </si>
  <si>
    <t xml:space="preserve">LEN</t>
  </si>
  <si>
    <t xml:space="preserve">Returns the number of characters in text.</t>
  </si>
  <si>
    <t xml:space="preserve">LEN(text)</t>
  </si>
  <si>
    <t xml:space="preserve">=LEN(Data!B5)</t>
  </si>
  <si>
    <t xml:space="preserve">UPPER</t>
  </si>
  <si>
    <t xml:space="preserve">Converts text to UPPERCASE.</t>
  </si>
  <si>
    <t xml:space="preserve">UPPER(text)</t>
  </si>
  <si>
    <t xml:space="preserve">=UPPER(Data!B2)</t>
  </si>
  <si>
    <t xml:space="preserve">LOWER</t>
  </si>
  <si>
    <t xml:space="preserve">Converts text to lowercase.</t>
  </si>
  <si>
    <t xml:space="preserve">LOWER(text)</t>
  </si>
  <si>
    <t xml:space="preserve">=LOWER(Data!B3)</t>
  </si>
  <si>
    <t xml:space="preserve">PROPER</t>
  </si>
  <si>
    <t xml:space="preserve">Capitalises the first letter of each word.</t>
  </si>
  <si>
    <t xml:space="preserve">PROPER(text)</t>
  </si>
  <si>
    <t xml:space="preserve">=PROPER(Data!B2)</t>
  </si>
  <si>
    <t xml:space="preserve">TRIM</t>
  </si>
  <si>
    <t xml:space="preserve">Removes extra spaces, leaving single spaces between words.</t>
  </si>
  <si>
    <t xml:space="preserve">TRIM(text)</t>
  </si>
  <si>
    <t xml:space="preserve">=TRIM(Data!A18)</t>
  </si>
  <si>
    <t xml:space="preserve">FIND</t>
  </si>
  <si>
    <t xml:space="preserve">Returns position of text inside text (case-sensitive).</t>
  </si>
  <si>
    <t xml:space="preserve">FIND(find_text, within_text, [start_num])</t>
  </si>
  <si>
    <t xml:space="preserve">=FIND(" ",Data!B3)</t>
  </si>
  <si>
    <t xml:space="preserve">SEARCH</t>
  </si>
  <si>
    <t xml:space="preserve">Returns position of text inside text (NOT case-sensitive).</t>
  </si>
  <si>
    <t xml:space="preserve">SEARCH(find_text, within_text, [start_num])</t>
  </si>
  <si>
    <t xml:space="preserve">=SEARCH("PATIL",Data!B3)</t>
  </si>
  <si>
    <t xml:space="preserve">SUBSTITUTE</t>
  </si>
  <si>
    <t xml:space="preserve">Replaces old text with new text.</t>
  </si>
  <si>
    <t xml:space="preserve">SUBSTITUTE(text, old_text, new_text)</t>
  </si>
  <si>
    <t xml:space="preserve">=SUBSTITUTE(Data!D2,"Mumbai","Bombay")</t>
  </si>
  <si>
    <t xml:space="preserve">REPLACE</t>
  </si>
  <si>
    <t xml:space="preserve">Replaces characters at a given position.</t>
  </si>
  <si>
    <t xml:space="preserve">REPLACE(old_text, start_num, num_chars, new_text)</t>
  </si>
  <si>
    <t xml:space="preserve">=REPLACE("ABC-2024",5,4,"2026")</t>
  </si>
  <si>
    <t xml:space="preserve">TEXT</t>
  </si>
  <si>
    <t xml:space="preserve">Formats a number/date as text in a given format.</t>
  </si>
  <si>
    <t xml:space="preserve">TEXT(value, format_text)</t>
  </si>
  <si>
    <t xml:space="preserve">=TEXT(Data!F2,"dd-mmm-yyyy")</t>
  </si>
  <si>
    <t xml:space="preserve">VALUE</t>
  </si>
  <si>
    <t xml:space="preserve">Converts text that looks like a number into a number.</t>
  </si>
  <si>
    <t xml:space="preserve">VALUE(text)</t>
  </si>
  <si>
    <t xml:space="preserve">=VALUE("1500")+500</t>
  </si>
  <si>
    <t xml:space="preserve">EXACT</t>
  </si>
  <si>
    <t xml:space="preserve">Checks if two texts are exactly the same (case-sensitive).</t>
  </si>
  <si>
    <t xml:space="preserve">EXACT(text1, text2)</t>
  </si>
  <si>
    <t xml:space="preserve">=EXACT("Excel","excel")</t>
  </si>
  <si>
    <t xml:space="preserve">REPT</t>
  </si>
  <si>
    <t xml:space="preserve">Repeats text a given number of times.</t>
  </si>
  <si>
    <t xml:space="preserve">REPT(text, number_times)</t>
  </si>
  <si>
    <t xml:space="preserve">=REPT("*",Data!H2)</t>
  </si>
  <si>
    <t xml:space="preserve">Lookup &amp; Reference</t>
  </si>
  <si>
    <t xml:space="preserve">VLOOKUP</t>
  </si>
  <si>
    <t xml:space="preserve">Searches a value in the FIRST column of a table and returns a value from the same row (vertical lookup).</t>
  </si>
  <si>
    <t xml:space="preserve">VLOOKUP(lookup_value, table_array, col_index_num, [range_lookup])</t>
  </si>
  <si>
    <t xml:space="preserve">=VLOOKUP(105,Data!A2:H11,2,FALSE)</t>
  </si>
  <si>
    <t xml:space="preserve">HLOOKUP</t>
  </si>
  <si>
    <t xml:space="preserve">Searches a value in the FIRST row of a table and returns a value from the same column (horizontal lookup).</t>
  </si>
  <si>
    <t xml:space="preserve">HLOOKUP(lookup_value, table_array, row_index_num, [range_lookup])</t>
  </si>
  <si>
    <t xml:space="preserve">=HLOOKUP("Mar",Data!B14:G15,2,FALSE)</t>
  </si>
  <si>
    <t xml:space="preserve">INDEX</t>
  </si>
  <si>
    <t xml:space="preserve">Returns the value at a given row and column of a range.</t>
  </si>
  <si>
    <t xml:space="preserve">INDEX(array, row_num, [column_num])</t>
  </si>
  <si>
    <t xml:space="preserve">=INDEX(Data!B2:B11,4)</t>
  </si>
  <si>
    <t xml:space="preserve">MATCH</t>
  </si>
  <si>
    <t xml:space="preserve">Returns the POSITION of a value in a range.</t>
  </si>
  <si>
    <t xml:space="preserve">MATCH(lookup_value, lookup_array, [match_type])</t>
  </si>
  <si>
    <t xml:space="preserve">=MATCH("Neha Desai",Data!B2:B11,0)</t>
  </si>
  <si>
    <t xml:space="preserve">INDEX + MATCH</t>
  </si>
  <si>
    <t xml:space="preserve">Two-way lookup; can look left, more flexible than VLOOKUP.</t>
  </si>
  <si>
    <t xml:space="preserve">INDEX(return_range, MATCH(value, lookup_range, 0))</t>
  </si>
  <si>
    <t xml:space="preserve">=INDEX(Data!A2:A11,MATCH("Karan Shah",Data!B2:B11,0))</t>
  </si>
  <si>
    <t xml:space="preserve">XLOOKUP</t>
  </si>
  <si>
    <t xml:space="preserve">Modern lookup (Excel 2021/365) that searches any direction and returns a default if not found.</t>
  </si>
  <si>
    <t xml:space="preserve">XLOOKUP(lookup_value, lookup_array, return_array, [if_not_found])</t>
  </si>
  <si>
    <t xml:space="preserve">=XLOOKUP("Amit Joshi",Data!B2:B11,Data!E2:E11,"Not found")</t>
  </si>
  <si>
    <t xml:space="preserve">62,000 (in Excel 2021/365; returns Amit Joshi's salary)</t>
  </si>
  <si>
    <t xml:space="preserve">CHOOSE</t>
  </si>
  <si>
    <t xml:space="preserve">Returns a value from a list based on an index number.</t>
  </si>
  <si>
    <t xml:space="preserve">CHOOSE(index_num, value1, value2, ...)</t>
  </si>
  <si>
    <t xml:space="preserve">=CHOOSE(2,"Mon","Tue","Wed")</t>
  </si>
  <si>
    <t xml:space="preserve">ROWS / COLUMNS</t>
  </si>
  <si>
    <t xml:space="preserve">Returns the number of rows (or columns) in a range.</t>
  </si>
  <si>
    <t xml:space="preserve">ROWS(array)  /  COLUMNS(array)</t>
  </si>
  <si>
    <t xml:space="preserve">=ROWS(Data!A2:A11)</t>
  </si>
  <si>
    <t xml:space="preserve">Date &amp; Time</t>
  </si>
  <si>
    <t xml:space="preserve">TODAY</t>
  </si>
  <si>
    <t xml:space="preserve">Returns today's date (updates automatically).</t>
  </si>
  <si>
    <t xml:space="preserve">TODAY()</t>
  </si>
  <si>
    <t xml:space="preserve">=TODAY()</t>
  </si>
  <si>
    <t xml:space="preserve">NOW</t>
  </si>
  <si>
    <t xml:space="preserve">Returns the current date AND time.</t>
  </si>
  <si>
    <t xml:space="preserve">NOW()</t>
  </si>
  <si>
    <t xml:space="preserve">=NOW()</t>
  </si>
  <si>
    <t xml:space="preserve">DATE</t>
  </si>
  <si>
    <t xml:space="preserve">Creates a date from year, month and day.</t>
  </si>
  <si>
    <t xml:space="preserve">DATE(year, month, day)</t>
  </si>
  <si>
    <t xml:space="preserve">=DATE(2026,8,15)</t>
  </si>
  <si>
    <t xml:space="preserve">YEAR</t>
  </si>
  <si>
    <t xml:space="preserve">Returns the year of a date.</t>
  </si>
  <si>
    <t xml:space="preserve">YEAR(serial_number)</t>
  </si>
  <si>
    <t xml:space="preserve">=YEAR(Data!F2)</t>
  </si>
  <si>
    <t xml:space="preserve">MONTH</t>
  </si>
  <si>
    <t xml:space="preserve">Returns the month (1-12) of a date.</t>
  </si>
  <si>
    <t xml:space="preserve">MONTH(serial_number)</t>
  </si>
  <si>
    <t xml:space="preserve">=MONTH(Data!F2)</t>
  </si>
  <si>
    <t xml:space="preserve">DAY</t>
  </si>
  <si>
    <t xml:space="preserve">Returns the day (1-31) of a date.</t>
  </si>
  <si>
    <t xml:space="preserve">DAY(serial_number)</t>
  </si>
  <si>
    <t xml:space="preserve">=DAY(Data!F2)</t>
  </si>
  <si>
    <t xml:space="preserve">WEEKDAY</t>
  </si>
  <si>
    <t xml:space="preserve">Returns the day of the week as a number (1=Sunday).</t>
  </si>
  <si>
    <t xml:space="preserve">WEEKDAY(serial_number, [return_type])</t>
  </si>
  <si>
    <t xml:space="preserve">=WEEKDAY(Data!F2)</t>
  </si>
  <si>
    <t xml:space="preserve">DATEDIF</t>
  </si>
  <si>
    <t xml:space="preserve">Calculates the difference between two dates in years ("Y"), months ("M") or days ("D").</t>
  </si>
  <si>
    <t xml:space="preserve">DATEDIF(start_date, end_date, unit)</t>
  </si>
  <si>
    <t xml:space="preserve">=DATEDIF(Data!F2,DATE(2026,10,28),"Y")</t>
  </si>
  <si>
    <t xml:space="preserve">NETWORKDAYS</t>
  </si>
  <si>
    <t xml:space="preserve">Counts working days (Mon-Fri) between two dates.</t>
  </si>
  <si>
    <t xml:space="preserve">NETWORKDAYS(start_date, end_date, [holidays])</t>
  </si>
  <si>
    <t xml:space="preserve">=NETWORKDAYS(DATE(2026,10,1),DATE(2026,10,31))</t>
  </si>
  <si>
    <t xml:space="preserve">EDATE</t>
  </si>
  <si>
    <t xml:space="preserve">Returns the date a given number of months before/after a date.</t>
  </si>
  <si>
    <t xml:space="preserve">EDATE(start_date, months)</t>
  </si>
  <si>
    <t xml:space="preserve">=EDATE(Data!F2,6)</t>
  </si>
  <si>
    <t xml:space="preserve">EOMONTH</t>
  </si>
  <si>
    <t xml:space="preserve">Returns the last day of the month, n months away.</t>
  </si>
  <si>
    <t xml:space="preserve">EOMONTH(start_date, months)</t>
  </si>
  <si>
    <t xml:space="preserve">=EOMONTH(Data!F2,0)</t>
  </si>
  <si>
    <t xml:space="preserve">Financial</t>
  </si>
  <si>
    <t xml:space="preserve">PMT</t>
  </si>
  <si>
    <t xml:space="preserve">Calculates the periodic (EMI) payment for a loan.</t>
  </si>
  <si>
    <t xml:space="preserve">PMT(rate, nper, pv, [fv], [type])</t>
  </si>
  <si>
    <t xml:space="preserve">=PMT(Data!B22/12,Data!B23*12,-Data!B21)</t>
  </si>
  <si>
    <t xml:space="preserve">FV</t>
  </si>
  <si>
    <t xml:space="preserve">Future value of an investment with regular payments.</t>
  </si>
  <si>
    <t xml:space="preserve">FV(rate, nper, pmt, [pv], [type])</t>
  </si>
  <si>
    <t xml:space="preserve">=FV(8%/12,12*10,-5000)</t>
  </si>
  <si>
    <t xml:space="preserve">PV</t>
  </si>
  <si>
    <t xml:space="preserve">Present value of a series of future payments.</t>
  </si>
  <si>
    <t xml:space="preserve">PV(rate, nper, pmt, [fv], [type])</t>
  </si>
  <si>
    <t xml:space="preserve">=PV(9%/12,60,-10000)</t>
  </si>
  <si>
    <t xml:space="preserve">Information</t>
  </si>
  <si>
    <t xml:space="preserve">ISBLANK</t>
  </si>
  <si>
    <t xml:space="preserve">Returns TRUE if a cell is empty.</t>
  </si>
  <si>
    <t xml:space="preserve">ISBLANK(value)</t>
  </si>
  <si>
    <t xml:space="preserve">=ISBLANK(Data!A12)</t>
  </si>
  <si>
    <t xml:space="preserve">ISNUMBER</t>
  </si>
  <si>
    <t xml:space="preserve">Returns TRUE if the value is a number.</t>
  </si>
  <si>
    <t xml:space="preserve">ISNUMBER(value)</t>
  </si>
  <si>
    <t xml:space="preserve">=ISNUMBER(Data!E2)</t>
  </si>
  <si>
    <t xml:space="preserve">ISTEXT</t>
  </si>
  <si>
    <t xml:space="preserve">Returns TRUE if the value is text.</t>
  </si>
  <si>
    <t xml:space="preserve">ISTEXT(value)</t>
  </si>
  <si>
    <t xml:space="preserve">=ISTEXT(Data!B2)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</si>
</sst>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dd\-mmm\-yyyy"/>
    <numFmt numFmtId="167" formatCode="0.0%"/>
    <numFmt numFmtId="168" formatCode="0"/>
    <numFmt numFmtId="169" formatCode="0.00"/>
    <numFmt numFmtId="170" formatCode="0.0"/>
    <numFmt numFmtId="171" formatCode="General"/>
    <numFmt numFmtId="172" formatCode="dd\-mmm\-yyyy\ hh:mm"/>
    <numFmt numFmtId="173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C00000"/>
      <name val="Consolas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3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18</v>
      </c>
    </row>
    <row r="26" customFormat="false" ht="15" hidden="false" customHeight="false" outlineLevel="0" collapsed="false">
      <c r="A26" s="2" t="s">
        <v>19</v>
      </c>
    </row>
    <row r="27" customFormat="false" ht="15" hidden="false" customHeight="false" outlineLevel="0" collapsed="false">
      <c r="A27" s="2" t="s">
        <v>20</v>
      </c>
    </row>
    <row r="28" customFormat="false" ht="15" hidden="false" customHeight="false" outlineLevel="0" collapsed="false">
      <c r="A28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9"/>
  </cols>
  <sheetData>
    <row r="1" customFormat="false" ht="15" hidden="false" customHeight="fals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</row>
    <row r="2" customFormat="false" ht="15" hidden="false" customHeight="false" outlineLevel="0" collapsed="false">
      <c r="A2" s="5" t="n">
        <v>101</v>
      </c>
      <c r="B2" s="5" t="s">
        <v>30</v>
      </c>
      <c r="C2" s="5" t="s">
        <v>31</v>
      </c>
      <c r="D2" s="5" t="s">
        <v>32</v>
      </c>
      <c r="E2" s="6" t="n">
        <v>45000</v>
      </c>
      <c r="F2" s="7" t="n">
        <v>44270</v>
      </c>
      <c r="G2" s="6" t="n">
        <v>120000</v>
      </c>
      <c r="H2" s="5" t="n">
        <v>4</v>
      </c>
    </row>
    <row r="3" customFormat="false" ht="15" hidden="false" customHeight="false" outlineLevel="0" collapsed="false">
      <c r="A3" s="5" t="n">
        <v>102</v>
      </c>
      <c r="B3" s="5" t="s">
        <v>33</v>
      </c>
      <c r="C3" s="5" t="s">
        <v>34</v>
      </c>
      <c r="D3" s="5" t="s">
        <v>35</v>
      </c>
      <c r="E3" s="6" t="n">
        <v>38000</v>
      </c>
      <c r="F3" s="7" t="n">
        <v>44013</v>
      </c>
      <c r="G3" s="6" t="n">
        <v>0</v>
      </c>
      <c r="H3" s="5" t="n">
        <v>5</v>
      </c>
    </row>
    <row r="4" customFormat="false" ht="15" hidden="false" customHeight="false" outlineLevel="0" collapsed="false">
      <c r="A4" s="5" t="n">
        <v>103</v>
      </c>
      <c r="B4" s="5" t="s">
        <v>36</v>
      </c>
      <c r="C4" s="5" t="s">
        <v>37</v>
      </c>
      <c r="D4" s="5" t="s">
        <v>32</v>
      </c>
      <c r="E4" s="6" t="n">
        <v>62000</v>
      </c>
      <c r="F4" s="7" t="n">
        <v>43475</v>
      </c>
      <c r="G4" s="6" t="n">
        <v>0</v>
      </c>
      <c r="H4" s="5" t="n">
        <v>3</v>
      </c>
    </row>
    <row r="5" customFormat="false" ht="15" hidden="false" customHeight="false" outlineLevel="0" collapsed="false">
      <c r="A5" s="5" t="n">
        <v>104</v>
      </c>
      <c r="B5" s="5" t="s">
        <v>38</v>
      </c>
      <c r="C5" s="5" t="s">
        <v>31</v>
      </c>
      <c r="D5" s="5" t="s">
        <v>39</v>
      </c>
      <c r="E5" s="6" t="n">
        <v>41000</v>
      </c>
      <c r="F5" s="7" t="n">
        <v>44885</v>
      </c>
      <c r="G5" s="6" t="n">
        <v>98000</v>
      </c>
      <c r="H5" s="5" t="n">
        <v>4</v>
      </c>
    </row>
    <row r="6" customFormat="false" ht="15" hidden="false" customHeight="false" outlineLevel="0" collapsed="false">
      <c r="A6" s="5" t="n">
        <v>105</v>
      </c>
      <c r="B6" s="5" t="s">
        <v>40</v>
      </c>
      <c r="C6" s="5" t="s">
        <v>37</v>
      </c>
      <c r="D6" s="5" t="s">
        <v>35</v>
      </c>
      <c r="E6" s="6" t="n">
        <v>58000</v>
      </c>
      <c r="F6" s="7" t="n">
        <v>43225</v>
      </c>
      <c r="G6" s="6" t="n">
        <v>0</v>
      </c>
      <c r="H6" s="5" t="n">
        <v>5</v>
      </c>
    </row>
    <row r="7" customFormat="false" ht="15" hidden="false" customHeight="false" outlineLevel="0" collapsed="false">
      <c r="A7" s="5" t="n">
        <v>106</v>
      </c>
      <c r="B7" s="5" t="s">
        <v>41</v>
      </c>
      <c r="C7" s="5" t="s">
        <v>42</v>
      </c>
      <c r="D7" s="5" t="s">
        <v>32</v>
      </c>
      <c r="E7" s="6" t="n">
        <v>52000</v>
      </c>
      <c r="F7" s="7" t="n">
        <v>44451</v>
      </c>
      <c r="G7" s="6" t="n">
        <v>0</v>
      </c>
      <c r="H7" s="5" t="n">
        <v>4</v>
      </c>
    </row>
    <row r="8" customFormat="false" ht="15" hidden="false" customHeight="false" outlineLevel="0" collapsed="false">
      <c r="A8" s="5" t="n">
        <v>107</v>
      </c>
      <c r="B8" s="5" t="s">
        <v>43</v>
      </c>
      <c r="C8" s="5" t="s">
        <v>31</v>
      </c>
      <c r="D8" s="5" t="s">
        <v>44</v>
      </c>
      <c r="E8" s="6" t="n">
        <v>39000</v>
      </c>
      <c r="F8" s="7" t="n">
        <v>44958</v>
      </c>
      <c r="G8" s="6" t="n">
        <v>150000</v>
      </c>
      <c r="H8" s="5" t="n">
        <v>3</v>
      </c>
    </row>
    <row r="9" customFormat="false" ht="15" hidden="false" customHeight="false" outlineLevel="0" collapsed="false">
      <c r="A9" s="5" t="n">
        <v>108</v>
      </c>
      <c r="B9" s="5" t="s">
        <v>45</v>
      </c>
      <c r="C9" s="5" t="s">
        <v>42</v>
      </c>
      <c r="D9" s="5" t="s">
        <v>39</v>
      </c>
      <c r="E9" s="6" t="n">
        <v>47000</v>
      </c>
      <c r="F9" s="7" t="n">
        <v>44183</v>
      </c>
      <c r="G9" s="6" t="n">
        <v>0</v>
      </c>
      <c r="H9" s="5" t="n">
        <v>2</v>
      </c>
    </row>
    <row r="10" customFormat="false" ht="15" hidden="false" customHeight="false" outlineLevel="0" collapsed="false">
      <c r="A10" s="5" t="n">
        <v>109</v>
      </c>
      <c r="B10" s="5" t="s">
        <v>46</v>
      </c>
      <c r="C10" s="5" t="s">
        <v>37</v>
      </c>
      <c r="D10" s="5" t="s">
        <v>44</v>
      </c>
      <c r="E10" s="6" t="n">
        <v>65000</v>
      </c>
      <c r="F10" s="7" t="n">
        <v>42972</v>
      </c>
      <c r="G10" s="6" t="n">
        <v>0</v>
      </c>
      <c r="H10" s="5" t="n">
        <v>4</v>
      </c>
    </row>
    <row r="11" customFormat="false" ht="15" hidden="false" customHeight="false" outlineLevel="0" collapsed="false">
      <c r="A11" s="5" t="n">
        <v>110</v>
      </c>
      <c r="B11" s="5" t="s">
        <v>47</v>
      </c>
      <c r="C11" s="5" t="s">
        <v>31</v>
      </c>
      <c r="D11" s="5" t="s">
        <v>35</v>
      </c>
      <c r="E11" s="6" t="n">
        <v>43000</v>
      </c>
      <c r="F11" s="7" t="n">
        <v>44742</v>
      </c>
      <c r="G11" s="6" t="n">
        <v>87000</v>
      </c>
      <c r="H11" s="5" t="n">
        <v>5</v>
      </c>
    </row>
    <row r="13" customFormat="false" ht="15" hidden="false" customHeight="false" outlineLevel="0" collapsed="false">
      <c r="A13" s="8" t="s">
        <v>48</v>
      </c>
    </row>
    <row r="14" customFormat="false" ht="15" hidden="false" customHeight="false" outlineLevel="0" collapsed="false">
      <c r="A14" s="9" t="s">
        <v>49</v>
      </c>
      <c r="B14" s="9" t="s">
        <v>50</v>
      </c>
      <c r="C14" s="9" t="s">
        <v>51</v>
      </c>
      <c r="D14" s="9" t="s">
        <v>52</v>
      </c>
      <c r="E14" s="9" t="s">
        <v>53</v>
      </c>
      <c r="F14" s="9" t="s">
        <v>54</v>
      </c>
      <c r="G14" s="9" t="s">
        <v>55</v>
      </c>
    </row>
    <row r="15" customFormat="false" ht="15" hidden="false" customHeight="false" outlineLevel="0" collapsed="false">
      <c r="A15" s="10" t="s">
        <v>56</v>
      </c>
      <c r="B15" s="6" t="n">
        <v>50000</v>
      </c>
      <c r="C15" s="6" t="n">
        <v>55000</v>
      </c>
      <c r="D15" s="6" t="n">
        <v>60000</v>
      </c>
      <c r="E15" s="6" t="n">
        <v>58000</v>
      </c>
      <c r="F15" s="6" t="n">
        <v>62000</v>
      </c>
      <c r="G15" s="6" t="n">
        <v>70000</v>
      </c>
    </row>
    <row r="17" customFormat="false" ht="15" hidden="false" customHeight="false" outlineLevel="0" collapsed="false">
      <c r="A17" s="8" t="s">
        <v>57</v>
      </c>
    </row>
    <row r="18" customFormat="false" ht="15" hidden="false" customHeight="false" outlineLevel="0" collapsed="false">
      <c r="A18" s="11" t="s">
        <v>58</v>
      </c>
    </row>
    <row r="20" customFormat="false" ht="15" hidden="false" customHeight="false" outlineLevel="0" collapsed="false">
      <c r="A20" s="8" t="s">
        <v>59</v>
      </c>
    </row>
    <row r="21" customFormat="false" ht="15" hidden="false" customHeight="false" outlineLevel="0" collapsed="false">
      <c r="A21" s="2" t="s">
        <v>60</v>
      </c>
      <c r="B21" s="12" t="n">
        <v>500000</v>
      </c>
    </row>
    <row r="22" customFormat="false" ht="15" hidden="false" customHeight="false" outlineLevel="0" collapsed="false">
      <c r="A22" s="2" t="s">
        <v>61</v>
      </c>
      <c r="B22" s="13" t="n">
        <v>0.09</v>
      </c>
    </row>
    <row r="23" customFormat="false" ht="15" hidden="false" customHeight="false" outlineLevel="0" collapsed="false">
      <c r="A23" s="2" t="s">
        <v>62</v>
      </c>
      <c r="B23" s="14" t="n">
        <v>5</v>
      </c>
    </row>
    <row r="25" customFormat="false" ht="15" hidden="false" customHeight="false" outlineLevel="0" collapsed="false">
      <c r="A25" s="15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48"/>
    <col collapsed="false" customWidth="true" hidden="false" outlineLevel="0" max="5" min="5" style="0" width="42"/>
    <col collapsed="false" customWidth="true" hidden="false" outlineLevel="0" max="6" min="6" style="0" width="52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64</v>
      </c>
    </row>
    <row r="3" customFormat="false" ht="15" hidden="false" customHeight="false" outlineLevel="0" collapsed="false">
      <c r="A3" s="4" t="s">
        <v>65</v>
      </c>
      <c r="B3" s="4" t="s">
        <v>66</v>
      </c>
      <c r="C3" s="4" t="s">
        <v>67</v>
      </c>
      <c r="D3" s="4" t="s">
        <v>68</v>
      </c>
      <c r="E3" s="4" t="s">
        <v>69</v>
      </c>
      <c r="F3" s="4" t="s">
        <v>70</v>
      </c>
      <c r="G3" s="4" t="s">
        <v>71</v>
      </c>
    </row>
    <row r="4" customFormat="false" ht="15" hidden="false" customHeight="false" outlineLevel="0" collapsed="false">
      <c r="A4" s="16" t="n">
        <v>1</v>
      </c>
      <c r="B4" s="17" t="s">
        <v>72</v>
      </c>
      <c r="C4" s="18" t="s">
        <v>73</v>
      </c>
      <c r="D4" s="16" t="s">
        <v>74</v>
      </c>
      <c r="E4" s="16" t="s">
        <v>75</v>
      </c>
      <c r="F4" s="19" t="s">
        <v>76</v>
      </c>
      <c r="G4" s="20" t="n">
        <f aca="false">SUM(Data!E2:E11)</f>
        <v>490000</v>
      </c>
    </row>
    <row r="5" customFormat="false" ht="15" hidden="false" customHeight="false" outlineLevel="0" collapsed="false">
      <c r="A5" s="16" t="n">
        <v>2</v>
      </c>
      <c r="B5" s="17" t="s">
        <v>72</v>
      </c>
      <c r="C5" s="18" t="s">
        <v>77</v>
      </c>
      <c r="D5" s="16" t="s">
        <v>78</v>
      </c>
      <c r="E5" s="16" t="s">
        <v>79</v>
      </c>
      <c r="F5" s="19" t="s">
        <v>80</v>
      </c>
      <c r="G5" s="21" t="n">
        <f aca="false">PRODUCT(5,4,2)</f>
        <v>40</v>
      </c>
    </row>
    <row r="6" customFormat="false" ht="15" hidden="false" customHeight="false" outlineLevel="0" collapsed="false">
      <c r="A6" s="16" t="n">
        <v>3</v>
      </c>
      <c r="B6" s="17" t="s">
        <v>72</v>
      </c>
      <c r="C6" s="18" t="s">
        <v>81</v>
      </c>
      <c r="D6" s="16" t="s">
        <v>82</v>
      </c>
      <c r="E6" s="16" t="s">
        <v>83</v>
      </c>
      <c r="F6" s="19" t="s">
        <v>84</v>
      </c>
      <c r="G6" s="20" t="n">
        <f aca="false">SUMIF(Data!C2:C11,"Sales",Data!E2:E11)</f>
        <v>168000</v>
      </c>
    </row>
    <row r="7" customFormat="false" ht="28.35" hidden="false" customHeight="false" outlineLevel="0" collapsed="false">
      <c r="A7" s="16" t="n">
        <v>4</v>
      </c>
      <c r="B7" s="17" t="s">
        <v>72</v>
      </c>
      <c r="C7" s="18" t="s">
        <v>85</v>
      </c>
      <c r="D7" s="16" t="s">
        <v>86</v>
      </c>
      <c r="E7" s="16" t="s">
        <v>87</v>
      </c>
      <c r="F7" s="19" t="s">
        <v>88</v>
      </c>
      <c r="G7" s="20" t="n">
        <f aca="false">SUMIFS(Data!E2:E11,Data!C2:C11,"IT",Data!D2:D11,"Pune")</f>
        <v>58000</v>
      </c>
    </row>
    <row r="8" customFormat="false" ht="26.85" hidden="false" customHeight="false" outlineLevel="0" collapsed="false">
      <c r="A8" s="16" t="n">
        <v>5</v>
      </c>
      <c r="B8" s="17" t="s">
        <v>72</v>
      </c>
      <c r="C8" s="18" t="s">
        <v>89</v>
      </c>
      <c r="D8" s="16" t="s">
        <v>90</v>
      </c>
      <c r="E8" s="16" t="s">
        <v>91</v>
      </c>
      <c r="F8" s="19" t="s">
        <v>92</v>
      </c>
      <c r="G8" s="20" t="n">
        <f aca="false">SUMPRODUCT(Data!E2:E11,Data!H2:H11)</f>
        <v>1904000</v>
      </c>
    </row>
    <row r="9" customFormat="false" ht="15" hidden="false" customHeight="false" outlineLevel="0" collapsed="false">
      <c r="A9" s="16" t="n">
        <v>6</v>
      </c>
      <c r="B9" s="17" t="s">
        <v>72</v>
      </c>
      <c r="C9" s="18" t="s">
        <v>93</v>
      </c>
      <c r="D9" s="16" t="s">
        <v>94</v>
      </c>
      <c r="E9" s="16" t="s">
        <v>95</v>
      </c>
      <c r="F9" s="19" t="s">
        <v>96</v>
      </c>
      <c r="G9" s="22" t="n">
        <f aca="false">ROUND(3.14159,2)</f>
        <v>3.14</v>
      </c>
    </row>
    <row r="10" customFormat="false" ht="15" hidden="false" customHeight="false" outlineLevel="0" collapsed="false">
      <c r="A10" s="16" t="n">
        <v>7</v>
      </c>
      <c r="B10" s="17" t="s">
        <v>72</v>
      </c>
      <c r="C10" s="18" t="s">
        <v>97</v>
      </c>
      <c r="D10" s="16" t="s">
        <v>98</v>
      </c>
      <c r="E10" s="16" t="s">
        <v>99</v>
      </c>
      <c r="F10" s="19" t="s">
        <v>100</v>
      </c>
      <c r="G10" s="23" t="n">
        <f aca="false">ROUNDUP(3.141,1)</f>
        <v>3.2</v>
      </c>
    </row>
    <row r="11" customFormat="false" ht="15" hidden="false" customHeight="false" outlineLevel="0" collapsed="false">
      <c r="A11" s="16" t="n">
        <v>8</v>
      </c>
      <c r="B11" s="17" t="s">
        <v>72</v>
      </c>
      <c r="C11" s="18" t="s">
        <v>101</v>
      </c>
      <c r="D11" s="16" t="s">
        <v>102</v>
      </c>
      <c r="E11" s="16" t="s">
        <v>103</v>
      </c>
      <c r="F11" s="19" t="s">
        <v>104</v>
      </c>
      <c r="G11" s="23" t="n">
        <f aca="false">ROUNDDOWN(3.189,1)</f>
        <v>3.1</v>
      </c>
    </row>
    <row r="12" customFormat="false" ht="15" hidden="false" customHeight="false" outlineLevel="0" collapsed="false">
      <c r="A12" s="16" t="n">
        <v>9</v>
      </c>
      <c r="B12" s="17" t="s">
        <v>72</v>
      </c>
      <c r="C12" s="18" t="s">
        <v>105</v>
      </c>
      <c r="D12" s="16" t="s">
        <v>106</v>
      </c>
      <c r="E12" s="16" t="s">
        <v>107</v>
      </c>
      <c r="F12" s="19" t="s">
        <v>108</v>
      </c>
      <c r="G12" s="21" t="n">
        <f aca="false">INT(8.9)</f>
        <v>8</v>
      </c>
    </row>
    <row r="13" customFormat="false" ht="15" hidden="false" customHeight="false" outlineLevel="0" collapsed="false">
      <c r="A13" s="16" t="n">
        <v>10</v>
      </c>
      <c r="B13" s="17" t="s">
        <v>72</v>
      </c>
      <c r="C13" s="18" t="s">
        <v>109</v>
      </c>
      <c r="D13" s="16" t="s">
        <v>110</v>
      </c>
      <c r="E13" s="16" t="s">
        <v>111</v>
      </c>
      <c r="F13" s="19" t="s">
        <v>112</v>
      </c>
      <c r="G13" s="21" t="n">
        <f aca="false">ABS(-250)</f>
        <v>250</v>
      </c>
    </row>
    <row r="14" customFormat="false" ht="15" hidden="false" customHeight="false" outlineLevel="0" collapsed="false">
      <c r="A14" s="16" t="n">
        <v>11</v>
      </c>
      <c r="B14" s="17" t="s">
        <v>72</v>
      </c>
      <c r="C14" s="18" t="s">
        <v>113</v>
      </c>
      <c r="D14" s="16" t="s">
        <v>114</v>
      </c>
      <c r="E14" s="16" t="s">
        <v>115</v>
      </c>
      <c r="F14" s="19" t="s">
        <v>116</v>
      </c>
      <c r="G14" s="21" t="n">
        <f aca="false">POWER(2,5)</f>
        <v>32</v>
      </c>
    </row>
    <row r="15" customFormat="false" ht="15" hidden="false" customHeight="false" outlineLevel="0" collapsed="false">
      <c r="A15" s="16" t="n">
        <v>12</v>
      </c>
      <c r="B15" s="17" t="s">
        <v>72</v>
      </c>
      <c r="C15" s="18" t="s">
        <v>117</v>
      </c>
      <c r="D15" s="16" t="s">
        <v>118</v>
      </c>
      <c r="E15" s="16" t="s">
        <v>119</v>
      </c>
      <c r="F15" s="19" t="s">
        <v>120</v>
      </c>
      <c r="G15" s="21" t="n">
        <f aca="false">SQRT(144)</f>
        <v>12</v>
      </c>
    </row>
    <row r="16" customFormat="false" ht="15" hidden="false" customHeight="false" outlineLevel="0" collapsed="false">
      <c r="A16" s="16" t="n">
        <v>13</v>
      </c>
      <c r="B16" s="17" t="s">
        <v>72</v>
      </c>
      <c r="C16" s="18" t="s">
        <v>121</v>
      </c>
      <c r="D16" s="16" t="s">
        <v>122</v>
      </c>
      <c r="E16" s="16" t="s">
        <v>123</v>
      </c>
      <c r="F16" s="19" t="s">
        <v>124</v>
      </c>
      <c r="G16" s="21" t="n">
        <f aca="false">MOD(17,5)</f>
        <v>2</v>
      </c>
    </row>
    <row r="17" customFormat="false" ht="15" hidden="false" customHeight="false" outlineLevel="0" collapsed="false">
      <c r="A17" s="16" t="n">
        <v>14</v>
      </c>
      <c r="B17" s="17" t="s">
        <v>125</v>
      </c>
      <c r="C17" s="18" t="s">
        <v>126</v>
      </c>
      <c r="D17" s="16" t="s">
        <v>127</v>
      </c>
      <c r="E17" s="16" t="s">
        <v>128</v>
      </c>
      <c r="F17" s="19" t="s">
        <v>129</v>
      </c>
      <c r="G17" s="20" t="n">
        <f aca="false">AVERAGE(Data!E2:E11)</f>
        <v>49000</v>
      </c>
    </row>
    <row r="18" customFormat="false" ht="26.85" hidden="false" customHeight="false" outlineLevel="0" collapsed="false">
      <c r="A18" s="16" t="n">
        <v>15</v>
      </c>
      <c r="B18" s="17" t="s">
        <v>125</v>
      </c>
      <c r="C18" s="18" t="s">
        <v>130</v>
      </c>
      <c r="D18" s="16" t="s">
        <v>131</v>
      </c>
      <c r="E18" s="16" t="s">
        <v>132</v>
      </c>
      <c r="F18" s="19" t="s">
        <v>133</v>
      </c>
      <c r="G18" s="20" t="n">
        <f aca="false">AVERAGEIF(Data!C2:C11,"IT",Data!E2:E11)</f>
        <v>61666.6666666667</v>
      </c>
    </row>
    <row r="19" customFormat="false" ht="15" hidden="false" customHeight="false" outlineLevel="0" collapsed="false">
      <c r="A19" s="16" t="n">
        <v>16</v>
      </c>
      <c r="B19" s="17" t="s">
        <v>125</v>
      </c>
      <c r="C19" s="18" t="s">
        <v>134</v>
      </c>
      <c r="D19" s="16" t="s">
        <v>135</v>
      </c>
      <c r="E19" s="16" t="s">
        <v>136</v>
      </c>
      <c r="F19" s="19" t="s">
        <v>137</v>
      </c>
      <c r="G19" s="20" t="n">
        <f aca="false">MIN(Data!E2:E11)</f>
        <v>38000</v>
      </c>
    </row>
    <row r="20" customFormat="false" ht="15" hidden="false" customHeight="false" outlineLevel="0" collapsed="false">
      <c r="A20" s="16" t="n">
        <v>17</v>
      </c>
      <c r="B20" s="17" t="s">
        <v>125</v>
      </c>
      <c r="C20" s="18" t="s">
        <v>138</v>
      </c>
      <c r="D20" s="16" t="s">
        <v>139</v>
      </c>
      <c r="E20" s="16" t="s">
        <v>140</v>
      </c>
      <c r="F20" s="19" t="s">
        <v>141</v>
      </c>
      <c r="G20" s="20" t="n">
        <f aca="false">MAX(Data!E2:E11)</f>
        <v>65000</v>
      </c>
    </row>
    <row r="21" customFormat="false" ht="15" hidden="false" customHeight="false" outlineLevel="0" collapsed="false">
      <c r="A21" s="16" t="n">
        <v>18</v>
      </c>
      <c r="B21" s="17" t="s">
        <v>125</v>
      </c>
      <c r="C21" s="18" t="s">
        <v>142</v>
      </c>
      <c r="D21" s="16" t="s">
        <v>143</v>
      </c>
      <c r="E21" s="16" t="s">
        <v>144</v>
      </c>
      <c r="F21" s="19" t="s">
        <v>145</v>
      </c>
      <c r="G21" s="21" t="n">
        <f aca="false">COUNT(Data!E2:E11)</f>
        <v>10</v>
      </c>
    </row>
    <row r="22" customFormat="false" ht="26.85" hidden="false" customHeight="false" outlineLevel="0" collapsed="false">
      <c r="A22" s="16" t="n">
        <v>19</v>
      </c>
      <c r="B22" s="17" t="s">
        <v>125</v>
      </c>
      <c r="C22" s="18" t="s">
        <v>146</v>
      </c>
      <c r="D22" s="16" t="s">
        <v>147</v>
      </c>
      <c r="E22" s="16" t="s">
        <v>148</v>
      </c>
      <c r="F22" s="19" t="s">
        <v>149</v>
      </c>
      <c r="G22" s="21" t="n">
        <f aca="false">COUNTA(Data!B2:B11)</f>
        <v>10</v>
      </c>
    </row>
    <row r="23" customFormat="false" ht="15" hidden="false" customHeight="false" outlineLevel="0" collapsed="false">
      <c r="A23" s="16" t="n">
        <v>20</v>
      </c>
      <c r="B23" s="17" t="s">
        <v>125</v>
      </c>
      <c r="C23" s="18" t="s">
        <v>150</v>
      </c>
      <c r="D23" s="16" t="s">
        <v>151</v>
      </c>
      <c r="E23" s="16" t="s">
        <v>152</v>
      </c>
      <c r="F23" s="19" t="s">
        <v>153</v>
      </c>
      <c r="G23" s="21" t="n">
        <f aca="false">COUNTBLANK(Data!A2:H12)</f>
        <v>8</v>
      </c>
    </row>
    <row r="24" customFormat="false" ht="15" hidden="false" customHeight="false" outlineLevel="0" collapsed="false">
      <c r="A24" s="16" t="n">
        <v>21</v>
      </c>
      <c r="B24" s="17" t="s">
        <v>125</v>
      </c>
      <c r="C24" s="18" t="s">
        <v>154</v>
      </c>
      <c r="D24" s="16" t="s">
        <v>155</v>
      </c>
      <c r="E24" s="16" t="s">
        <v>156</v>
      </c>
      <c r="F24" s="19" t="s">
        <v>157</v>
      </c>
      <c r="G24" s="21" t="n">
        <f aca="false">COUNTIF(Data!D2:D11,"Mumbai")</f>
        <v>3</v>
      </c>
    </row>
    <row r="25" customFormat="false" ht="28.35" hidden="false" customHeight="false" outlineLevel="0" collapsed="false">
      <c r="A25" s="16" t="n">
        <v>22</v>
      </c>
      <c r="B25" s="17" t="s">
        <v>125</v>
      </c>
      <c r="C25" s="18" t="s">
        <v>158</v>
      </c>
      <c r="D25" s="16" t="s">
        <v>159</v>
      </c>
      <c r="E25" s="16" t="s">
        <v>160</v>
      </c>
      <c r="F25" s="19" t="s">
        <v>161</v>
      </c>
      <c r="G25" s="21" t="n">
        <f aca="false">COUNTIFS(Data!C2:C11,"Sales",Data!E2:E11,"&gt;40000")</f>
        <v>3</v>
      </c>
    </row>
    <row r="26" customFormat="false" ht="15" hidden="false" customHeight="false" outlineLevel="0" collapsed="false">
      <c r="A26" s="16" t="n">
        <v>23</v>
      </c>
      <c r="B26" s="17" t="s">
        <v>125</v>
      </c>
      <c r="C26" s="18" t="s">
        <v>162</v>
      </c>
      <c r="D26" s="16" t="s">
        <v>163</v>
      </c>
      <c r="E26" s="16" t="s">
        <v>164</v>
      </c>
      <c r="F26" s="19" t="s">
        <v>165</v>
      </c>
      <c r="G26" s="20" t="n">
        <f aca="false">MEDIAN(Data!E2:E11)</f>
        <v>46000</v>
      </c>
    </row>
    <row r="27" customFormat="false" ht="15" hidden="false" customHeight="false" outlineLevel="0" collapsed="false">
      <c r="A27" s="16" t="n">
        <v>24</v>
      </c>
      <c r="B27" s="17" t="s">
        <v>125</v>
      </c>
      <c r="C27" s="18" t="s">
        <v>166</v>
      </c>
      <c r="D27" s="16" t="s">
        <v>167</v>
      </c>
      <c r="E27" s="16" t="s">
        <v>168</v>
      </c>
      <c r="F27" s="19" t="s">
        <v>169</v>
      </c>
      <c r="G27" s="21" t="n">
        <f aca="false">MODE(Data!H2:H11)</f>
        <v>4</v>
      </c>
    </row>
    <row r="28" customFormat="false" ht="15" hidden="false" customHeight="false" outlineLevel="0" collapsed="false">
      <c r="A28" s="16" t="n">
        <v>25</v>
      </c>
      <c r="B28" s="17" t="s">
        <v>125</v>
      </c>
      <c r="C28" s="18" t="s">
        <v>170</v>
      </c>
      <c r="D28" s="16" t="s">
        <v>171</v>
      </c>
      <c r="E28" s="16" t="s">
        <v>172</v>
      </c>
      <c r="F28" s="19" t="s">
        <v>173</v>
      </c>
      <c r="G28" s="20" t="n">
        <f aca="false">LARGE(Data!E2:E11,2)</f>
        <v>62000</v>
      </c>
    </row>
    <row r="29" customFormat="false" ht="15" hidden="false" customHeight="false" outlineLevel="0" collapsed="false">
      <c r="A29" s="16" t="n">
        <v>26</v>
      </c>
      <c r="B29" s="17" t="s">
        <v>125</v>
      </c>
      <c r="C29" s="18" t="s">
        <v>174</v>
      </c>
      <c r="D29" s="16" t="s">
        <v>175</v>
      </c>
      <c r="E29" s="16" t="s">
        <v>176</v>
      </c>
      <c r="F29" s="19" t="s">
        <v>177</v>
      </c>
      <c r="G29" s="20" t="n">
        <f aca="false">SMALL(Data!E2:E11,2)</f>
        <v>39000</v>
      </c>
    </row>
    <row r="30" customFormat="false" ht="15" hidden="false" customHeight="false" outlineLevel="0" collapsed="false">
      <c r="A30" s="16" t="n">
        <v>27</v>
      </c>
      <c r="B30" s="17" t="s">
        <v>125</v>
      </c>
      <c r="C30" s="18" t="s">
        <v>178</v>
      </c>
      <c r="D30" s="16" t="s">
        <v>179</v>
      </c>
      <c r="E30" s="16" t="s">
        <v>180</v>
      </c>
      <c r="F30" s="19" t="s">
        <v>181</v>
      </c>
      <c r="G30" s="21" t="n">
        <f aca="false">RANK(Data!E4,Data!E2:E11,0)</f>
        <v>2</v>
      </c>
    </row>
    <row r="31" customFormat="false" ht="28.35" hidden="false" customHeight="false" outlineLevel="0" collapsed="false">
      <c r="A31" s="16" t="n">
        <v>28</v>
      </c>
      <c r="B31" s="17" t="s">
        <v>182</v>
      </c>
      <c r="C31" s="18" t="s">
        <v>183</v>
      </c>
      <c r="D31" s="16" t="s">
        <v>184</v>
      </c>
      <c r="E31" s="16" t="s">
        <v>185</v>
      </c>
      <c r="F31" s="19" t="s">
        <v>186</v>
      </c>
      <c r="G31" s="24" t="str">
        <f aca="false">IF(Data!E2&gt;40000,"High Salary","Low Salary")</f>
        <v>High Salary</v>
      </c>
    </row>
    <row r="32" customFormat="false" ht="28.35" hidden="false" customHeight="false" outlineLevel="0" collapsed="false">
      <c r="A32" s="16" t="n">
        <v>29</v>
      </c>
      <c r="B32" s="17" t="s">
        <v>182</v>
      </c>
      <c r="C32" s="18" t="s">
        <v>187</v>
      </c>
      <c r="D32" s="16" t="s">
        <v>188</v>
      </c>
      <c r="E32" s="16" t="s">
        <v>189</v>
      </c>
      <c r="F32" s="19" t="s">
        <v>190</v>
      </c>
      <c r="G32" s="24" t="str">
        <f aca="false">IF(Data!H2&gt;=5,"Excellent",IF(Data!H2&gt;=3,"Good","Poor"))</f>
        <v>Good</v>
      </c>
    </row>
    <row r="33" customFormat="false" ht="28.35" hidden="false" customHeight="false" outlineLevel="0" collapsed="false">
      <c r="A33" s="16" t="n">
        <v>30</v>
      </c>
      <c r="B33" s="17" t="s">
        <v>182</v>
      </c>
      <c r="C33" s="18" t="s">
        <v>191</v>
      </c>
      <c r="D33" s="16" t="s">
        <v>192</v>
      </c>
      <c r="E33" s="16" t="s">
        <v>193</v>
      </c>
      <c r="F33" s="19" t="s">
        <v>194</v>
      </c>
      <c r="G33" s="24" t="str">
        <f aca="false">_xlfn.IFS(Data!H3&gt;=5,"Excellent",Data!H3&gt;=3,"Good",TRUE(),"Poor")</f>
        <v>Excellent</v>
      </c>
    </row>
    <row r="34" customFormat="false" ht="15" hidden="false" customHeight="false" outlineLevel="0" collapsed="false">
      <c r="A34" s="16" t="n">
        <v>31</v>
      </c>
      <c r="B34" s="17" t="s">
        <v>182</v>
      </c>
      <c r="C34" s="18" t="s">
        <v>195</v>
      </c>
      <c r="D34" s="16" t="s">
        <v>196</v>
      </c>
      <c r="E34" s="16" t="s">
        <v>197</v>
      </c>
      <c r="F34" s="19" t="s">
        <v>198</v>
      </c>
      <c r="G34" s="25" t="b">
        <f aca="false">AND(Data!C2="Sales",Data!E2&gt;40000)</f>
        <v>1</v>
      </c>
    </row>
    <row r="35" customFormat="false" ht="15" hidden="false" customHeight="false" outlineLevel="0" collapsed="false">
      <c r="A35" s="16" t="n">
        <v>32</v>
      </c>
      <c r="B35" s="17" t="s">
        <v>182</v>
      </c>
      <c r="C35" s="18" t="s">
        <v>199</v>
      </c>
      <c r="D35" s="16" t="s">
        <v>200</v>
      </c>
      <c r="E35" s="16" t="s">
        <v>201</v>
      </c>
      <c r="F35" s="19" t="s">
        <v>202</v>
      </c>
      <c r="G35" s="25" t="b">
        <f aca="false">OR(Data!D3="Mumbai",Data!D3="Pune")</f>
        <v>1</v>
      </c>
    </row>
    <row r="36" customFormat="false" ht="15" hidden="false" customHeight="false" outlineLevel="0" collapsed="false">
      <c r="A36" s="16" t="n">
        <v>33</v>
      </c>
      <c r="B36" s="17" t="s">
        <v>182</v>
      </c>
      <c r="C36" s="18" t="s">
        <v>203</v>
      </c>
      <c r="D36" s="16" t="s">
        <v>204</v>
      </c>
      <c r="E36" s="16" t="s">
        <v>205</v>
      </c>
      <c r="F36" s="19" t="s">
        <v>206</v>
      </c>
      <c r="G36" s="25" t="b">
        <f aca="false">NOT(Data!C2="HR")</f>
        <v>1</v>
      </c>
    </row>
    <row r="37" customFormat="false" ht="28.35" hidden="false" customHeight="false" outlineLevel="0" collapsed="false">
      <c r="A37" s="16" t="n">
        <v>34</v>
      </c>
      <c r="B37" s="17" t="s">
        <v>182</v>
      </c>
      <c r="C37" s="18" t="s">
        <v>207</v>
      </c>
      <c r="D37" s="16" t="s">
        <v>208</v>
      </c>
      <c r="E37" s="16" t="s">
        <v>209</v>
      </c>
      <c r="F37" s="19" t="s">
        <v>210</v>
      </c>
      <c r="G37" s="24" t="str">
        <f aca="false">IFERROR(Data!E2/Data!G3,"Cannot divide by 0")</f>
        <v>Cannot divide by 0</v>
      </c>
    </row>
    <row r="38" customFormat="false" ht="26.85" hidden="false" customHeight="false" outlineLevel="0" collapsed="false">
      <c r="A38" s="16" t="n">
        <v>35</v>
      </c>
      <c r="B38" s="17" t="s">
        <v>211</v>
      </c>
      <c r="C38" s="18" t="s">
        <v>212</v>
      </c>
      <c r="D38" s="16" t="s">
        <v>213</v>
      </c>
      <c r="E38" s="16" t="s">
        <v>214</v>
      </c>
      <c r="F38" s="19" t="s">
        <v>215</v>
      </c>
      <c r="G38" s="24" t="str">
        <f aca="false">CONCATENATE(Data!B3," - ",Data!C3)</f>
        <v>Priya Patil - HR</v>
      </c>
    </row>
    <row r="39" customFormat="false" ht="26.85" hidden="false" customHeight="false" outlineLevel="0" collapsed="false">
      <c r="A39" s="16" t="n">
        <v>36</v>
      </c>
      <c r="B39" s="17" t="s">
        <v>211</v>
      </c>
      <c r="C39" s="18" t="s">
        <v>216</v>
      </c>
      <c r="D39" s="16" t="s">
        <v>217</v>
      </c>
      <c r="E39" s="16" t="s">
        <v>218</v>
      </c>
      <c r="F39" s="19" t="s">
        <v>219</v>
      </c>
      <c r="G39" s="24" t="str">
        <f aca="false">_xlfn.CONCAT(Data!B4," (",Data!D4,")")</f>
        <v>Amit Joshi (Mumbai)</v>
      </c>
    </row>
    <row r="40" customFormat="false" ht="26.85" hidden="false" customHeight="false" outlineLevel="0" collapsed="false">
      <c r="A40" s="16" t="n">
        <v>37</v>
      </c>
      <c r="B40" s="17" t="s">
        <v>211</v>
      </c>
      <c r="C40" s="18" t="s">
        <v>220</v>
      </c>
      <c r="D40" s="16" t="s">
        <v>221</v>
      </c>
      <c r="E40" s="16" t="s">
        <v>222</v>
      </c>
      <c r="F40" s="19" t="s">
        <v>223</v>
      </c>
      <c r="G40" s="24" t="str">
        <f aca="false">_xlfn.TEXTJOIN(", ",TRUE(),Data!D2:D5)</f>
        <v>Mumbai, Pune, Mumbai, Thane</v>
      </c>
    </row>
    <row r="41" customFormat="false" ht="26.85" hidden="false" customHeight="false" outlineLevel="0" collapsed="false">
      <c r="A41" s="16" t="n">
        <v>38</v>
      </c>
      <c r="B41" s="17" t="s">
        <v>211</v>
      </c>
      <c r="C41" s="18" t="s">
        <v>224</v>
      </c>
      <c r="D41" s="16" t="s">
        <v>225</v>
      </c>
      <c r="E41" s="16" t="s">
        <v>226</v>
      </c>
      <c r="F41" s="19" t="s">
        <v>227</v>
      </c>
      <c r="G41" s="24" t="str">
        <f aca="false">Data!B5&amp;" works in "&amp;Data!C5</f>
        <v>Sneha Kulkarni works in Sales</v>
      </c>
    </row>
    <row r="42" customFormat="false" ht="15" hidden="false" customHeight="false" outlineLevel="0" collapsed="false">
      <c r="A42" s="16" t="n">
        <v>39</v>
      </c>
      <c r="B42" s="17" t="s">
        <v>211</v>
      </c>
      <c r="C42" s="18" t="s">
        <v>228</v>
      </c>
      <c r="D42" s="16" t="s">
        <v>229</v>
      </c>
      <c r="E42" s="16" t="s">
        <v>230</v>
      </c>
      <c r="F42" s="19" t="s">
        <v>231</v>
      </c>
      <c r="G42" s="24" t="str">
        <f aca="false">LEFT(Data!B3,5)</f>
        <v>Priya</v>
      </c>
    </row>
    <row r="43" customFormat="false" ht="15" hidden="false" customHeight="false" outlineLevel="0" collapsed="false">
      <c r="A43" s="16" t="n">
        <v>40</v>
      </c>
      <c r="B43" s="17" t="s">
        <v>211</v>
      </c>
      <c r="C43" s="18" t="s">
        <v>232</v>
      </c>
      <c r="D43" s="16" t="s">
        <v>233</v>
      </c>
      <c r="E43" s="16" t="s">
        <v>234</v>
      </c>
      <c r="F43" s="19" t="s">
        <v>235</v>
      </c>
      <c r="G43" s="24" t="str">
        <f aca="false">RIGHT(Data!B3,5)</f>
        <v>Patil</v>
      </c>
    </row>
    <row r="44" customFormat="false" ht="15" hidden="false" customHeight="false" outlineLevel="0" collapsed="false">
      <c r="A44" s="16" t="n">
        <v>41</v>
      </c>
      <c r="B44" s="17" t="s">
        <v>211</v>
      </c>
      <c r="C44" s="18" t="s">
        <v>236</v>
      </c>
      <c r="D44" s="16" t="s">
        <v>237</v>
      </c>
      <c r="E44" s="16" t="s">
        <v>238</v>
      </c>
      <c r="F44" s="19" t="s">
        <v>239</v>
      </c>
      <c r="G44" s="24" t="str">
        <f aca="false">MID(Data!B4,6,5)</f>
        <v>Joshi</v>
      </c>
    </row>
    <row r="45" customFormat="false" ht="15" hidden="false" customHeight="false" outlineLevel="0" collapsed="false">
      <c r="A45" s="16" t="n">
        <v>42</v>
      </c>
      <c r="B45" s="17" t="s">
        <v>211</v>
      </c>
      <c r="C45" s="18" t="s">
        <v>240</v>
      </c>
      <c r="D45" s="16" t="s">
        <v>241</v>
      </c>
      <c r="E45" s="16" t="s">
        <v>242</v>
      </c>
      <c r="F45" s="19" t="s">
        <v>243</v>
      </c>
      <c r="G45" s="21" t="n">
        <f aca="false">LEN(Data!B5)</f>
        <v>14</v>
      </c>
    </row>
    <row r="46" customFormat="false" ht="15" hidden="false" customHeight="false" outlineLevel="0" collapsed="false">
      <c r="A46" s="16" t="n">
        <v>43</v>
      </c>
      <c r="B46" s="17" t="s">
        <v>211</v>
      </c>
      <c r="C46" s="18" t="s">
        <v>244</v>
      </c>
      <c r="D46" s="16" t="s">
        <v>245</v>
      </c>
      <c r="E46" s="16" t="s">
        <v>246</v>
      </c>
      <c r="F46" s="19" t="s">
        <v>247</v>
      </c>
      <c r="G46" s="24" t="str">
        <f aca="false">UPPER(Data!B2)</f>
        <v>RAHUL SHARMA</v>
      </c>
    </row>
    <row r="47" customFormat="false" ht="15" hidden="false" customHeight="false" outlineLevel="0" collapsed="false">
      <c r="A47" s="16" t="n">
        <v>44</v>
      </c>
      <c r="B47" s="17" t="s">
        <v>211</v>
      </c>
      <c r="C47" s="18" t="s">
        <v>248</v>
      </c>
      <c r="D47" s="16" t="s">
        <v>249</v>
      </c>
      <c r="E47" s="16" t="s">
        <v>250</v>
      </c>
      <c r="F47" s="19" t="s">
        <v>251</v>
      </c>
      <c r="G47" s="24" t="str">
        <f aca="false">LOWER(Data!B3)</f>
        <v>priya patil</v>
      </c>
    </row>
    <row r="48" customFormat="false" ht="15" hidden="false" customHeight="false" outlineLevel="0" collapsed="false">
      <c r="A48" s="16" t="n">
        <v>45</v>
      </c>
      <c r="B48" s="17" t="s">
        <v>211</v>
      </c>
      <c r="C48" s="18" t="s">
        <v>252</v>
      </c>
      <c r="D48" s="16" t="s">
        <v>253</v>
      </c>
      <c r="E48" s="16" t="s">
        <v>254</v>
      </c>
      <c r="F48" s="19" t="s">
        <v>255</v>
      </c>
      <c r="G48" s="24" t="str">
        <f aca="false">PROPER(Data!B2)</f>
        <v>Rahul Sharma</v>
      </c>
    </row>
    <row r="49" customFormat="false" ht="26.85" hidden="false" customHeight="false" outlineLevel="0" collapsed="false">
      <c r="A49" s="16" t="n">
        <v>46</v>
      </c>
      <c r="B49" s="17" t="s">
        <v>211</v>
      </c>
      <c r="C49" s="18" t="s">
        <v>256</v>
      </c>
      <c r="D49" s="16" t="s">
        <v>257</v>
      </c>
      <c r="E49" s="16" t="s">
        <v>258</v>
      </c>
      <c r="F49" s="19" t="s">
        <v>259</v>
      </c>
      <c r="G49" s="24" t="str">
        <f aca="false">TRIM(Data!A18)</f>
        <v>Excel is powerful</v>
      </c>
    </row>
    <row r="50" customFormat="false" ht="15" hidden="false" customHeight="false" outlineLevel="0" collapsed="false">
      <c r="A50" s="16" t="n">
        <v>47</v>
      </c>
      <c r="B50" s="17" t="s">
        <v>211</v>
      </c>
      <c r="C50" s="18" t="s">
        <v>260</v>
      </c>
      <c r="D50" s="16" t="s">
        <v>261</v>
      </c>
      <c r="E50" s="16" t="s">
        <v>262</v>
      </c>
      <c r="F50" s="19" t="s">
        <v>263</v>
      </c>
      <c r="G50" s="21" t="n">
        <f aca="false">FIND(" ",Data!B3)</f>
        <v>6</v>
      </c>
    </row>
    <row r="51" customFormat="false" ht="26.85" hidden="false" customHeight="false" outlineLevel="0" collapsed="false">
      <c r="A51" s="16" t="n">
        <v>48</v>
      </c>
      <c r="B51" s="17" t="s">
        <v>211</v>
      </c>
      <c r="C51" s="18" t="s">
        <v>264</v>
      </c>
      <c r="D51" s="16" t="s">
        <v>265</v>
      </c>
      <c r="E51" s="16" t="s">
        <v>266</v>
      </c>
      <c r="F51" s="19" t="s">
        <v>267</v>
      </c>
      <c r="G51" s="21" t="n">
        <f aca="false">SEARCH("PATIL",Data!B3)</f>
        <v>7</v>
      </c>
    </row>
    <row r="52" customFormat="false" ht="15" hidden="false" customHeight="false" outlineLevel="0" collapsed="false">
      <c r="A52" s="16" t="n">
        <v>49</v>
      </c>
      <c r="B52" s="17" t="s">
        <v>211</v>
      </c>
      <c r="C52" s="18" t="s">
        <v>268</v>
      </c>
      <c r="D52" s="16" t="s">
        <v>269</v>
      </c>
      <c r="E52" s="16" t="s">
        <v>270</v>
      </c>
      <c r="F52" s="19" t="s">
        <v>271</v>
      </c>
      <c r="G52" s="24" t="str">
        <f aca="false">SUBSTITUTE(Data!D2,"Mumbai","Bombay")</f>
        <v>Bombay</v>
      </c>
    </row>
    <row r="53" customFormat="false" ht="26.85" hidden="false" customHeight="false" outlineLevel="0" collapsed="false">
      <c r="A53" s="16" t="n">
        <v>50</v>
      </c>
      <c r="B53" s="17" t="s">
        <v>211</v>
      </c>
      <c r="C53" s="18" t="s">
        <v>272</v>
      </c>
      <c r="D53" s="16" t="s">
        <v>273</v>
      </c>
      <c r="E53" s="16" t="s">
        <v>274</v>
      </c>
      <c r="F53" s="19" t="s">
        <v>275</v>
      </c>
      <c r="G53" s="24" t="str">
        <f aca="false">REPLACE("ABC-2024",5,4,"2026")</f>
        <v>ABC-2026</v>
      </c>
    </row>
    <row r="54" customFormat="false" ht="15" hidden="false" customHeight="false" outlineLevel="0" collapsed="false">
      <c r="A54" s="16" t="n">
        <v>51</v>
      </c>
      <c r="B54" s="17" t="s">
        <v>211</v>
      </c>
      <c r="C54" s="18" t="s">
        <v>276</v>
      </c>
      <c r="D54" s="16" t="s">
        <v>277</v>
      </c>
      <c r="E54" s="16" t="s">
        <v>278</v>
      </c>
      <c r="F54" s="19" t="s">
        <v>279</v>
      </c>
      <c r="G54" s="24" t="str">
        <f aca="false">TEXT(Data!F2,"dd-mmm-yyyy")</f>
        <v>15-Mar-2021</v>
      </c>
    </row>
    <row r="55" customFormat="false" ht="26.85" hidden="false" customHeight="false" outlineLevel="0" collapsed="false">
      <c r="A55" s="16" t="n">
        <v>52</v>
      </c>
      <c r="B55" s="17" t="s">
        <v>211</v>
      </c>
      <c r="C55" s="18" t="s">
        <v>280</v>
      </c>
      <c r="D55" s="16" t="s">
        <v>281</v>
      </c>
      <c r="E55" s="16" t="s">
        <v>282</v>
      </c>
      <c r="F55" s="19" t="s">
        <v>283</v>
      </c>
      <c r="G55" s="21" t="n">
        <f aca="false">VALUE("1500")+500</f>
        <v>2000</v>
      </c>
    </row>
    <row r="56" customFormat="false" ht="26.85" hidden="false" customHeight="false" outlineLevel="0" collapsed="false">
      <c r="A56" s="16" t="n">
        <v>53</v>
      </c>
      <c r="B56" s="17" t="s">
        <v>211</v>
      </c>
      <c r="C56" s="18" t="s">
        <v>284</v>
      </c>
      <c r="D56" s="16" t="s">
        <v>285</v>
      </c>
      <c r="E56" s="16" t="s">
        <v>286</v>
      </c>
      <c r="F56" s="19" t="s">
        <v>287</v>
      </c>
      <c r="G56" s="25" t="b">
        <f aca="false">EXACT("Excel","excel")</f>
        <v>0</v>
      </c>
    </row>
    <row r="57" customFormat="false" ht="15" hidden="false" customHeight="false" outlineLevel="0" collapsed="false">
      <c r="A57" s="16" t="n">
        <v>54</v>
      </c>
      <c r="B57" s="17" t="s">
        <v>211</v>
      </c>
      <c r="C57" s="18" t="s">
        <v>288</v>
      </c>
      <c r="D57" s="16" t="s">
        <v>289</v>
      </c>
      <c r="E57" s="16" t="s">
        <v>290</v>
      </c>
      <c r="F57" s="19" t="s">
        <v>291</v>
      </c>
      <c r="G57" s="24" t="str">
        <f aca="false">REPT("*",Data!H2)</f>
        <v>****</v>
      </c>
    </row>
    <row r="58" customFormat="false" ht="39.55" hidden="false" customHeight="false" outlineLevel="0" collapsed="false">
      <c r="A58" s="16" t="n">
        <v>55</v>
      </c>
      <c r="B58" s="17" t="s">
        <v>292</v>
      </c>
      <c r="C58" s="18" t="s">
        <v>293</v>
      </c>
      <c r="D58" s="16" t="s">
        <v>294</v>
      </c>
      <c r="E58" s="16" t="s">
        <v>295</v>
      </c>
      <c r="F58" s="19" t="s">
        <v>296</v>
      </c>
      <c r="G58" s="24" t="str">
        <f aca="false">VLOOKUP(105,Data!A2:H11,2,FALSE())</f>
        <v>Rohan Mehta</v>
      </c>
    </row>
    <row r="59" customFormat="false" ht="39.55" hidden="false" customHeight="false" outlineLevel="0" collapsed="false">
      <c r="A59" s="16" t="n">
        <v>56</v>
      </c>
      <c r="B59" s="17" t="s">
        <v>292</v>
      </c>
      <c r="C59" s="18" t="s">
        <v>297</v>
      </c>
      <c r="D59" s="16" t="s">
        <v>298</v>
      </c>
      <c r="E59" s="16" t="s">
        <v>299</v>
      </c>
      <c r="F59" s="19" t="s">
        <v>300</v>
      </c>
      <c r="G59" s="20" t="n">
        <f aca="false">HLOOKUP("Mar",Data!B14:G15,2,FALSE())</f>
        <v>60000</v>
      </c>
    </row>
    <row r="60" customFormat="false" ht="26.85" hidden="false" customHeight="false" outlineLevel="0" collapsed="false">
      <c r="A60" s="16" t="n">
        <v>57</v>
      </c>
      <c r="B60" s="17" t="s">
        <v>292</v>
      </c>
      <c r="C60" s="18" t="s">
        <v>301</v>
      </c>
      <c r="D60" s="16" t="s">
        <v>302</v>
      </c>
      <c r="E60" s="16" t="s">
        <v>303</v>
      </c>
      <c r="F60" s="19" t="s">
        <v>304</v>
      </c>
      <c r="G60" s="24" t="str">
        <f aca="false">INDEX(Data!B2:B11,4)</f>
        <v>Sneha Kulkarni</v>
      </c>
    </row>
    <row r="61" customFormat="false" ht="26.85" hidden="false" customHeight="false" outlineLevel="0" collapsed="false">
      <c r="A61" s="16" t="n">
        <v>58</v>
      </c>
      <c r="B61" s="17" t="s">
        <v>292</v>
      </c>
      <c r="C61" s="18" t="s">
        <v>305</v>
      </c>
      <c r="D61" s="16" t="s">
        <v>306</v>
      </c>
      <c r="E61" s="16" t="s">
        <v>307</v>
      </c>
      <c r="F61" s="19" t="s">
        <v>308</v>
      </c>
      <c r="G61" s="21" t="n">
        <f aca="false">MATCH("Neha Desai",Data!B2:B11,0)</f>
        <v>6</v>
      </c>
    </row>
    <row r="62" customFormat="false" ht="28.35" hidden="false" customHeight="false" outlineLevel="0" collapsed="false">
      <c r="A62" s="16" t="n">
        <v>59</v>
      </c>
      <c r="B62" s="17" t="s">
        <v>292</v>
      </c>
      <c r="C62" s="18" t="s">
        <v>309</v>
      </c>
      <c r="D62" s="16" t="s">
        <v>310</v>
      </c>
      <c r="E62" s="16" t="s">
        <v>311</v>
      </c>
      <c r="F62" s="19" t="s">
        <v>312</v>
      </c>
      <c r="G62" s="21" t="n">
        <f aca="false">INDEX(Data!A2:A11,MATCH("Karan Shah",Data!B2:B11,0))</f>
        <v>107</v>
      </c>
    </row>
    <row r="63" customFormat="false" ht="39.55" hidden="false" customHeight="false" outlineLevel="0" collapsed="false">
      <c r="A63" s="16" t="n">
        <v>60</v>
      </c>
      <c r="B63" s="17" t="s">
        <v>292</v>
      </c>
      <c r="C63" s="18" t="s">
        <v>313</v>
      </c>
      <c r="D63" s="16" t="s">
        <v>314</v>
      </c>
      <c r="E63" s="16" t="s">
        <v>315</v>
      </c>
      <c r="F63" s="19" t="s">
        <v>316</v>
      </c>
      <c r="G63" s="24" t="s">
        <v>317</v>
      </c>
    </row>
    <row r="64" customFormat="false" ht="26.85" hidden="false" customHeight="false" outlineLevel="0" collapsed="false">
      <c r="A64" s="16" t="n">
        <v>61</v>
      </c>
      <c r="B64" s="17" t="s">
        <v>292</v>
      </c>
      <c r="C64" s="18" t="s">
        <v>318</v>
      </c>
      <c r="D64" s="16" t="s">
        <v>319</v>
      </c>
      <c r="E64" s="16" t="s">
        <v>320</v>
      </c>
      <c r="F64" s="19" t="s">
        <v>321</v>
      </c>
      <c r="G64" s="24" t="str">
        <f aca="false">CHOOSE(2,"Mon","Tue","Wed")</f>
        <v>Tue</v>
      </c>
    </row>
    <row r="65" customFormat="false" ht="26.85" hidden="false" customHeight="false" outlineLevel="0" collapsed="false">
      <c r="A65" s="16" t="n">
        <v>62</v>
      </c>
      <c r="B65" s="17" t="s">
        <v>292</v>
      </c>
      <c r="C65" s="18" t="s">
        <v>322</v>
      </c>
      <c r="D65" s="16" t="s">
        <v>323</v>
      </c>
      <c r="E65" s="16" t="s">
        <v>324</v>
      </c>
      <c r="F65" s="19" t="s">
        <v>325</v>
      </c>
      <c r="G65" s="21" t="n">
        <f aca="false">ROWS(Data!A2:A11)</f>
        <v>10</v>
      </c>
    </row>
    <row r="66" customFormat="false" ht="15" hidden="false" customHeight="false" outlineLevel="0" collapsed="false">
      <c r="A66" s="16" t="n">
        <v>63</v>
      </c>
      <c r="B66" s="17" t="s">
        <v>326</v>
      </c>
      <c r="C66" s="18" t="s">
        <v>327</v>
      </c>
      <c r="D66" s="16" t="s">
        <v>328</v>
      </c>
      <c r="E66" s="16" t="s">
        <v>329</v>
      </c>
      <c r="F66" s="19" t="s">
        <v>330</v>
      </c>
      <c r="G66" s="26" t="n">
        <f aca="true">TODAY()</f>
        <v>46323</v>
      </c>
    </row>
    <row r="67" customFormat="false" ht="15" hidden="false" customHeight="false" outlineLevel="0" collapsed="false">
      <c r="A67" s="16" t="n">
        <v>64</v>
      </c>
      <c r="B67" s="17" t="s">
        <v>326</v>
      </c>
      <c r="C67" s="18" t="s">
        <v>331</v>
      </c>
      <c r="D67" s="16" t="s">
        <v>332</v>
      </c>
      <c r="E67" s="16" t="s">
        <v>333</v>
      </c>
      <c r="F67" s="19" t="s">
        <v>334</v>
      </c>
      <c r="G67" s="27" t="n">
        <f aca="true">NOW()</f>
        <v>46323.3564093132</v>
      </c>
    </row>
    <row r="68" customFormat="false" ht="15" hidden="false" customHeight="false" outlineLevel="0" collapsed="false">
      <c r="A68" s="16" t="n">
        <v>65</v>
      </c>
      <c r="B68" s="17" t="s">
        <v>326</v>
      </c>
      <c r="C68" s="18" t="s">
        <v>335</v>
      </c>
      <c r="D68" s="16" t="s">
        <v>336</v>
      </c>
      <c r="E68" s="16" t="s">
        <v>337</v>
      </c>
      <c r="F68" s="19" t="s">
        <v>338</v>
      </c>
      <c r="G68" s="26" t="n">
        <f aca="false">DATE(2026,8,15)</f>
        <v>46249</v>
      </c>
    </row>
    <row r="69" customFormat="false" ht="15" hidden="false" customHeight="false" outlineLevel="0" collapsed="false">
      <c r="A69" s="16" t="n">
        <v>66</v>
      </c>
      <c r="B69" s="17" t="s">
        <v>326</v>
      </c>
      <c r="C69" s="18" t="s">
        <v>339</v>
      </c>
      <c r="D69" s="16" t="s">
        <v>340</v>
      </c>
      <c r="E69" s="16" t="s">
        <v>341</v>
      </c>
      <c r="F69" s="19" t="s">
        <v>342</v>
      </c>
      <c r="G69" s="21" t="n">
        <f aca="false">YEAR(Data!F2)</f>
        <v>2021</v>
      </c>
    </row>
    <row r="70" customFormat="false" ht="15" hidden="false" customHeight="false" outlineLevel="0" collapsed="false">
      <c r="A70" s="16" t="n">
        <v>67</v>
      </c>
      <c r="B70" s="17" t="s">
        <v>326</v>
      </c>
      <c r="C70" s="18" t="s">
        <v>343</v>
      </c>
      <c r="D70" s="16" t="s">
        <v>344</v>
      </c>
      <c r="E70" s="16" t="s">
        <v>345</v>
      </c>
      <c r="F70" s="19" t="s">
        <v>346</v>
      </c>
      <c r="G70" s="21" t="n">
        <f aca="false">MONTH(Data!F2)</f>
        <v>3</v>
      </c>
    </row>
    <row r="71" customFormat="false" ht="15" hidden="false" customHeight="false" outlineLevel="0" collapsed="false">
      <c r="A71" s="16" t="n">
        <v>68</v>
      </c>
      <c r="B71" s="17" t="s">
        <v>326</v>
      </c>
      <c r="C71" s="18" t="s">
        <v>347</v>
      </c>
      <c r="D71" s="16" t="s">
        <v>348</v>
      </c>
      <c r="E71" s="16" t="s">
        <v>349</v>
      </c>
      <c r="F71" s="19" t="s">
        <v>350</v>
      </c>
      <c r="G71" s="21" t="n">
        <f aca="false">DAY(Data!F2)</f>
        <v>15</v>
      </c>
    </row>
    <row r="72" customFormat="false" ht="26.85" hidden="false" customHeight="false" outlineLevel="0" collapsed="false">
      <c r="A72" s="16" t="n">
        <v>69</v>
      </c>
      <c r="B72" s="17" t="s">
        <v>326</v>
      </c>
      <c r="C72" s="18" t="s">
        <v>351</v>
      </c>
      <c r="D72" s="16" t="s">
        <v>352</v>
      </c>
      <c r="E72" s="16" t="s">
        <v>353</v>
      </c>
      <c r="F72" s="19" t="s">
        <v>354</v>
      </c>
      <c r="G72" s="21" t="n">
        <f aca="false">WEEKDAY(Data!F2)</f>
        <v>2</v>
      </c>
    </row>
    <row r="73" customFormat="false" ht="26.85" hidden="false" customHeight="false" outlineLevel="0" collapsed="false">
      <c r="A73" s="16" t="n">
        <v>70</v>
      </c>
      <c r="B73" s="17" t="s">
        <v>326</v>
      </c>
      <c r="C73" s="18" t="s">
        <v>355</v>
      </c>
      <c r="D73" s="16" t="s">
        <v>356</v>
      </c>
      <c r="E73" s="16" t="s">
        <v>357</v>
      </c>
      <c r="F73" s="19" t="s">
        <v>358</v>
      </c>
      <c r="G73" s="21" t="n">
        <f aca="false">DATEDIF(Data!F2,DATE(2026,10,28),"Y")</f>
        <v>5</v>
      </c>
    </row>
    <row r="74" customFormat="false" ht="28.35" hidden="false" customHeight="false" outlineLevel="0" collapsed="false">
      <c r="A74" s="16" t="n">
        <v>71</v>
      </c>
      <c r="B74" s="17" t="s">
        <v>326</v>
      </c>
      <c r="C74" s="18" t="s">
        <v>359</v>
      </c>
      <c r="D74" s="16" t="s">
        <v>360</v>
      </c>
      <c r="E74" s="16" t="s">
        <v>361</v>
      </c>
      <c r="F74" s="19" t="s">
        <v>362</v>
      </c>
      <c r="G74" s="21" t="n">
        <f aca="false">NETWORKDAYS(DATE(2026,10,1),DATE(2026,10,31))</f>
        <v>22</v>
      </c>
    </row>
    <row r="75" customFormat="false" ht="26.85" hidden="false" customHeight="false" outlineLevel="0" collapsed="false">
      <c r="A75" s="16" t="n">
        <v>72</v>
      </c>
      <c r="B75" s="17" t="s">
        <v>326</v>
      </c>
      <c r="C75" s="18" t="s">
        <v>363</v>
      </c>
      <c r="D75" s="16" t="s">
        <v>364</v>
      </c>
      <c r="E75" s="16" t="s">
        <v>365</v>
      </c>
      <c r="F75" s="19" t="s">
        <v>366</v>
      </c>
      <c r="G75" s="26" t="n">
        <f aca="false">EDATE(Data!F2,6)</f>
        <v>44454</v>
      </c>
    </row>
    <row r="76" customFormat="false" ht="15" hidden="false" customHeight="false" outlineLevel="0" collapsed="false">
      <c r="A76" s="16" t="n">
        <v>73</v>
      </c>
      <c r="B76" s="17" t="s">
        <v>326</v>
      </c>
      <c r="C76" s="18" t="s">
        <v>367</v>
      </c>
      <c r="D76" s="16" t="s">
        <v>368</v>
      </c>
      <c r="E76" s="16" t="s">
        <v>369</v>
      </c>
      <c r="F76" s="19" t="s">
        <v>370</v>
      </c>
      <c r="G76" s="26" t="n">
        <f aca="false">EOMONTH(Data!F2,0)</f>
        <v>44286</v>
      </c>
    </row>
    <row r="77" customFormat="false" ht="15" hidden="false" customHeight="false" outlineLevel="0" collapsed="false">
      <c r="A77" s="16" t="n">
        <v>74</v>
      </c>
      <c r="B77" s="17" t="s">
        <v>371</v>
      </c>
      <c r="C77" s="18" t="s">
        <v>372</v>
      </c>
      <c r="D77" s="16" t="s">
        <v>373</v>
      </c>
      <c r="E77" s="16" t="s">
        <v>374</v>
      </c>
      <c r="F77" s="19" t="s">
        <v>375</v>
      </c>
      <c r="G77" s="28" t="n">
        <f aca="false">PMT(Data!B22/12,Data!B23*12,-Data!B21)</f>
        <v>10379.177613177</v>
      </c>
    </row>
    <row r="78" customFormat="false" ht="26.85" hidden="false" customHeight="false" outlineLevel="0" collapsed="false">
      <c r="A78" s="16" t="n">
        <v>75</v>
      </c>
      <c r="B78" s="17" t="s">
        <v>371</v>
      </c>
      <c r="C78" s="18" t="s">
        <v>376</v>
      </c>
      <c r="D78" s="16" t="s">
        <v>377</v>
      </c>
      <c r="E78" s="16" t="s">
        <v>378</v>
      </c>
      <c r="F78" s="19" t="s">
        <v>379</v>
      </c>
      <c r="G78" s="28" t="n">
        <f aca="false">FV(8%/12,12*10,-5000)</f>
        <v>914730.175908533</v>
      </c>
    </row>
    <row r="79" customFormat="false" ht="15" hidden="false" customHeight="false" outlineLevel="0" collapsed="false">
      <c r="A79" s="16" t="n">
        <v>76</v>
      </c>
      <c r="B79" s="17" t="s">
        <v>371</v>
      </c>
      <c r="C79" s="18" t="s">
        <v>380</v>
      </c>
      <c r="D79" s="16" t="s">
        <v>381</v>
      </c>
      <c r="E79" s="16" t="s">
        <v>382</v>
      </c>
      <c r="F79" s="19" t="s">
        <v>383</v>
      </c>
      <c r="G79" s="28" t="n">
        <f aca="false">PV(9%/12,60,-10000)</f>
        <v>481733.73520964</v>
      </c>
    </row>
    <row r="80" customFormat="false" ht="15" hidden="false" customHeight="false" outlineLevel="0" collapsed="false">
      <c r="A80" s="16" t="n">
        <v>77</v>
      </c>
      <c r="B80" s="17" t="s">
        <v>384</v>
      </c>
      <c r="C80" s="18" t="s">
        <v>385</v>
      </c>
      <c r="D80" s="16" t="s">
        <v>386</v>
      </c>
      <c r="E80" s="16" t="s">
        <v>387</v>
      </c>
      <c r="F80" s="19" t="s">
        <v>388</v>
      </c>
      <c r="G80" s="25" t="b">
        <f aca="false">ISBLANK(Data!A12)</f>
        <v>1</v>
      </c>
    </row>
    <row r="81" customFormat="false" ht="15" hidden="false" customHeight="false" outlineLevel="0" collapsed="false">
      <c r="A81" s="16" t="n">
        <v>78</v>
      </c>
      <c r="B81" s="17" t="s">
        <v>384</v>
      </c>
      <c r="C81" s="18" t="s">
        <v>389</v>
      </c>
      <c r="D81" s="16" t="s">
        <v>390</v>
      </c>
      <c r="E81" s="16" t="s">
        <v>391</v>
      </c>
      <c r="F81" s="19" t="s">
        <v>392</v>
      </c>
      <c r="G81" s="25" t="b">
        <f aca="false">ISNUMBER(Data!E2)</f>
        <v>1</v>
      </c>
    </row>
    <row r="82" customFormat="false" ht="15" hidden="false" customHeight="false" outlineLevel="0" collapsed="false">
      <c r="A82" s="16" t="n">
        <v>79</v>
      </c>
      <c r="B82" s="17" t="s">
        <v>384</v>
      </c>
      <c r="C82" s="18" t="s">
        <v>393</v>
      </c>
      <c r="D82" s="16" t="s">
        <v>394</v>
      </c>
      <c r="E82" s="16" t="s">
        <v>395</v>
      </c>
      <c r="F82" s="19" t="s">
        <v>396</v>
      </c>
      <c r="G82" s="25" t="b">
        <f aca="false">ISTEXT(Data!B2)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2026-10-28T08:33:12Z</dcterms:created>
  <dc:creator>openpyxl</dc:creator>
  <dc:description/>
  <dc:language>en-US</dc:language>
  <cp:lastModifiedBy/>
  <dcterms:modified xsi:type="dcterms:W3CDTF">2026-10-28T08:33:13Z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